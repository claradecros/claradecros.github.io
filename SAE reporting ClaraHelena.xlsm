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ra\Downloads\"/>
    </mc:Choice>
  </mc:AlternateContent>
  <xr:revisionPtr revIDLastSave="0" documentId="8_{1C2C59C3-4E96-43B6-A554-AC78ACCFB53B}" xr6:coauthVersionLast="47" xr6:coauthVersionMax="47" xr10:uidLastSave="{00000000-0000-0000-0000-000000000000}"/>
  <bookViews>
    <workbookView xWindow="-120" yWindow="-120" windowWidth="20730" windowHeight="11040" xr2:uid="{320CDBF3-A496-4339-ABAC-F96BFFC412AE}"/>
  </bookViews>
  <sheets>
    <sheet name="Menu" sheetId="5" r:id="rId1"/>
    <sheet name="Tableau de bord" sheetId="3" r:id="rId2"/>
    <sheet name="Moyennes des ressources" sheetId="9" state="hidden" r:id="rId3"/>
    <sheet name="Notes" sheetId="2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9" l="1" a="1"/>
  <c r="C40" i="9" s="1"/>
  <c r="C39" i="9" a="1"/>
  <c r="C39" i="9" s="1"/>
  <c r="C38" i="9" a="1"/>
  <c r="C38" i="9" s="1"/>
  <c r="C37" i="9" a="1"/>
  <c r="C37" i="9" s="1"/>
  <c r="J13" i="3" a="1"/>
  <c r="J13" i="3" s="1"/>
  <c r="J15" i="3" a="1"/>
  <c r="J15" i="3" s="1"/>
  <c r="J16" i="3" a="1"/>
  <c r="J16" i="3" s="1"/>
  <c r="J17" i="3" a="1"/>
  <c r="J17" i="3" s="1"/>
  <c r="J18" i="3" a="1"/>
  <c r="J18" i="3" s="1"/>
  <c r="J19" i="3" a="1"/>
  <c r="J19" i="3" s="1"/>
  <c r="J20" i="3" a="1"/>
  <c r="J20" i="3" s="1"/>
  <c r="J21" i="3" a="1"/>
  <c r="J21" i="3" s="1"/>
  <c r="C3" i="9" a="1"/>
  <c r="C3" i="9" s="1"/>
  <c r="C4" i="9" a="1"/>
  <c r="C4" i="9" s="1"/>
  <c r="C5" i="9" a="1"/>
  <c r="C5" i="9" s="1"/>
  <c r="C7" i="9" a="1"/>
  <c r="C7" i="9" s="1"/>
  <c r="C8" i="9" a="1"/>
  <c r="C8" i="9" s="1"/>
  <c r="C9" i="9" a="1"/>
  <c r="C9" i="9" s="1"/>
  <c r="C10" i="9" a="1"/>
  <c r="C10" i="9" s="1"/>
  <c r="C11" i="9" a="1"/>
  <c r="C11" i="9" s="1"/>
  <c r="C12" i="9" a="1"/>
  <c r="C12" i="9" s="1"/>
  <c r="C13" i="9" a="1"/>
  <c r="C13" i="9" s="1"/>
  <c r="C14" i="9" a="1"/>
  <c r="C14" i="9" s="1"/>
  <c r="C15" i="9" a="1"/>
  <c r="C15" i="9" s="1"/>
  <c r="C16" i="9" a="1"/>
  <c r="C16" i="9" s="1"/>
  <c r="C17" i="9" a="1"/>
  <c r="C17" i="9" s="1"/>
  <c r="C18" i="9" a="1"/>
  <c r="C18" i="9" s="1"/>
  <c r="C19" i="9" a="1"/>
  <c r="C19" i="9" s="1"/>
  <c r="C20" i="9" a="1"/>
  <c r="C20" i="9" s="1"/>
  <c r="C21" i="9" a="1"/>
  <c r="C21" i="9" s="1"/>
  <c r="C22" i="9" a="1"/>
  <c r="C22" i="9" s="1"/>
  <c r="C23" i="9" a="1"/>
  <c r="C23" i="9" s="1"/>
  <c r="C24" i="9" a="1"/>
  <c r="C24" i="9" s="1"/>
  <c r="C25" i="9" a="1"/>
  <c r="C25" i="9" s="1"/>
  <c r="C26" i="9" a="1"/>
  <c r="C26" i="9" s="1"/>
  <c r="C27" i="9" a="1"/>
  <c r="C27" i="9" s="1"/>
  <c r="C28" i="9" a="1"/>
  <c r="C28" i="9" s="1"/>
  <c r="C29" i="9" a="1"/>
  <c r="C29" i="9" s="1"/>
  <c r="C30" i="9" a="1"/>
  <c r="C30" i="9" s="1"/>
  <c r="C31" i="9" a="1"/>
  <c r="C31" i="9" s="1"/>
  <c r="C32" i="9" a="1"/>
  <c r="C32" i="9" s="1"/>
  <c r="C33" i="9" a="1"/>
  <c r="C33" i="9" s="1"/>
  <c r="C34" i="9" a="1"/>
  <c r="C34" i="9" s="1"/>
  <c r="C35" i="9" a="1"/>
  <c r="C35" i="9" s="1"/>
  <c r="C36" i="9" a="1"/>
  <c r="C36" i="9" s="1"/>
  <c r="C2" i="9" a="1"/>
  <c r="C2" i="9" s="1"/>
  <c r="J2" i="3" a="1"/>
  <c r="J2" i="3" s="1"/>
  <c r="J3" i="3" a="1"/>
  <c r="J3" i="3" s="1"/>
  <c r="J4" i="3" a="1"/>
  <c r="J4" i="3" s="1"/>
  <c r="J5" i="3" a="1"/>
  <c r="J5" i="3" s="1"/>
  <c r="J6" i="3" a="1"/>
  <c r="J6" i="3" s="1"/>
  <c r="J7" i="3" a="1"/>
  <c r="J7" i="3" s="1"/>
  <c r="J9" i="3" a="1"/>
  <c r="J9" i="3" s="1"/>
  <c r="J10" i="3" a="1"/>
  <c r="J10" i="3" s="1"/>
  <c r="J11" i="3" a="1"/>
  <c r="J11" i="3" s="1"/>
  <c r="J26" i="3" a="1"/>
  <c r="J26" i="3" s="1"/>
  <c r="J27" i="3" a="1"/>
  <c r="J27" i="3" s="1"/>
  <c r="J28" i="3" a="1"/>
  <c r="J28" i="3" s="1"/>
  <c r="J29" i="3" a="1"/>
  <c r="J29" i="3" s="1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J42" i="3" a="1"/>
  <c r="J42" i="3" s="1"/>
  <c r="J43" i="3" a="1"/>
  <c r="J43" i="3" s="1"/>
  <c r="J44" i="3" a="1"/>
  <c r="J44" i="3" s="1"/>
  <c r="J45" i="3" a="1"/>
  <c r="J45" i="3" s="1"/>
  <c r="J47" i="3" a="1"/>
  <c r="J47" i="3" s="1"/>
  <c r="J48" i="3" a="1"/>
  <c r="J48" i="3" s="1"/>
  <c r="J49" i="3" a="1"/>
  <c r="J49" i="3" s="1"/>
  <c r="J52" i="3" a="1"/>
  <c r="J5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clara decros</author>
  </authors>
  <commentList>
    <comment ref="E2" authorId="0" shapeId="0" xr:uid="{30826C09-5536-417D-AC4C-61F534CBD3C5}">
      <text>
        <r>
          <rPr>
            <sz val="9"/>
            <color indexed="81"/>
            <rFont val="Tahoma"/>
            <family val="2"/>
          </rPr>
          <t>Coefficient: 1, Nom: Test1</t>
        </r>
      </text>
    </comment>
    <comment ref="E3" authorId="0" shapeId="0" xr:uid="{95D9197A-0D4C-4F2A-B1AE-3321AFEB544C}">
      <text>
        <r>
          <rPr>
            <sz val="9"/>
            <color indexed="81"/>
            <rFont val="Tahoma"/>
            <family val="2"/>
          </rPr>
          <t>Coefficient: 1, Nom: Test2</t>
        </r>
      </text>
    </comment>
    <comment ref="E4" authorId="0" shapeId="0" xr:uid="{EA39188C-7A0B-43F0-9C57-6BF19585A55E}">
      <text>
        <r>
          <rPr>
            <sz val="9"/>
            <color indexed="81"/>
            <rFont val="Tahoma"/>
            <family val="2"/>
          </rPr>
          <t>Coefficient: 1, Nom: Test3</t>
        </r>
      </text>
    </comment>
    <comment ref="E5" authorId="0" shapeId="0" xr:uid="{BF9CA9BD-5CE7-48D5-94E0-695F173067A7}">
      <text>
        <r>
          <rPr>
            <sz val="9"/>
            <color indexed="81"/>
            <rFont val="Tahoma"/>
            <family val="2"/>
          </rPr>
          <t>Coefficient: 1, Nom: Test4</t>
        </r>
      </text>
    </comment>
    <comment ref="F5" authorId="0" shapeId="0" xr:uid="{FA1B2BCD-5FA0-48ED-B662-75C1A39B6DCB}">
      <text>
        <r>
          <rPr>
            <sz val="9"/>
            <color indexed="81"/>
            <rFont val="Tahoma"/>
            <family val="2"/>
          </rPr>
          <t>Coefficient: 1, Nom: Test13</t>
        </r>
      </text>
    </comment>
    <comment ref="E6" authorId="0" shapeId="0" xr:uid="{24C288E7-0ECC-4DFA-9FE5-C2303732FA5B}">
      <text>
        <r>
          <rPr>
            <sz val="9"/>
            <color indexed="81"/>
            <rFont val="Tahoma"/>
            <family val="2"/>
          </rPr>
          <t>Coefficient: 1, Nom: Test5</t>
        </r>
      </text>
    </comment>
    <comment ref="E7" authorId="0" shapeId="0" xr:uid="{4453C622-27CB-4FA9-B2A5-C455FDCF3631}">
      <text>
        <r>
          <rPr>
            <sz val="9"/>
            <color indexed="81"/>
            <rFont val="Tahoma"/>
            <family val="2"/>
          </rPr>
          <t>Coefficient: 1, Nom: Test6</t>
        </r>
      </text>
    </comment>
    <comment ref="E9" authorId="0" shapeId="0" xr:uid="{C2A0948B-79E3-4F6D-BF05-78DEB5E4B609}">
      <text>
        <r>
          <rPr>
            <sz val="9"/>
            <color indexed="81"/>
            <rFont val="Tahoma"/>
            <family val="2"/>
          </rPr>
          <t>Coefficient: 1, Nom: Test7</t>
        </r>
      </text>
    </comment>
    <comment ref="E10" authorId="0" shapeId="0" xr:uid="{EEE4DF59-0887-4608-AAD5-F524E3E8647A}">
      <text>
        <r>
          <rPr>
            <sz val="9"/>
            <color indexed="81"/>
            <rFont val="Tahoma"/>
            <family val="2"/>
          </rPr>
          <t>Coefficient: 1, Nom: Test8</t>
        </r>
      </text>
    </comment>
    <comment ref="E11" authorId="0" shapeId="0" xr:uid="{BC0344C2-7A2D-4139-B9FE-7999AA023578}">
      <text>
        <r>
          <rPr>
            <sz val="9"/>
            <color indexed="81"/>
            <rFont val="Tahoma"/>
            <family val="2"/>
          </rPr>
          <t>Coefficient: 1, Nom: Test9</t>
        </r>
      </text>
    </comment>
    <comment ref="E12" authorId="0" shapeId="0" xr:uid="{A7DB5B68-08A2-4601-BD08-DBE05FB08352}">
      <text>
        <r>
          <rPr>
            <sz val="9"/>
            <color indexed="81"/>
            <rFont val="Tahoma"/>
            <family val="2"/>
          </rPr>
          <t>Coefficient: 1, Nom: Test4</t>
        </r>
      </text>
    </comment>
    <comment ref="F12" authorId="0" shapeId="0" xr:uid="{E7D9E1D9-78D5-4848-A24D-B475626617B5}">
      <text>
        <r>
          <rPr>
            <sz val="9"/>
            <color indexed="81"/>
            <rFont val="Tahoma"/>
            <family val="2"/>
          </rPr>
          <t>Coefficient: 1, Nom: Test13</t>
        </r>
      </text>
    </comment>
    <comment ref="E13" authorId="0" shapeId="0" xr:uid="{862BF222-1D26-45C1-8A73-DB5A2F8E40DF}">
      <text>
        <r>
          <rPr>
            <sz val="9"/>
            <color indexed="81"/>
            <rFont val="Tahoma"/>
            <family val="2"/>
          </rPr>
          <t>Coefficient: 1, Nom: Test10</t>
        </r>
      </text>
    </comment>
    <comment ref="E15" authorId="0" shapeId="0" xr:uid="{3166DC89-5B9E-4015-8B7E-4FB9497F6069}">
      <text>
        <r>
          <rPr>
            <sz val="9"/>
            <color indexed="81"/>
            <rFont val="Tahoma"/>
            <family val="2"/>
          </rPr>
          <t>Coefficient: 1, Nom: Test11</t>
        </r>
      </text>
    </comment>
    <comment ref="E16" authorId="0" shapeId="0" xr:uid="{D04A1F0B-F812-4220-B237-28E994643B66}">
      <text>
        <r>
          <rPr>
            <sz val="9"/>
            <color indexed="81"/>
            <rFont val="Tahoma"/>
            <family val="2"/>
          </rPr>
          <t>Coefficient: 1, Nom: Test12</t>
        </r>
      </text>
    </comment>
    <comment ref="E17" authorId="0" shapeId="0" xr:uid="{242CF9D3-9659-42AF-B595-B7181A33FACA}">
      <text>
        <r>
          <rPr>
            <sz val="9"/>
            <color indexed="81"/>
            <rFont val="Tahoma"/>
            <family val="2"/>
          </rPr>
          <t>Coefficient: 1, Nom: Test13</t>
        </r>
      </text>
    </comment>
    <comment ref="E18" authorId="0" shapeId="0" xr:uid="{EB51A3D7-A0C7-455A-8895-353C2304203F}">
      <text>
        <r>
          <rPr>
            <sz val="9"/>
            <color indexed="81"/>
            <rFont val="Tahoma"/>
            <family val="2"/>
          </rPr>
          <t>Coefficient: 1, Nom: Test4</t>
        </r>
      </text>
    </comment>
    <comment ref="F18" authorId="0" shapeId="0" xr:uid="{0789FBE7-3B69-4EB8-A664-771A21F64A1F}">
      <text>
        <r>
          <rPr>
            <sz val="9"/>
            <color indexed="81"/>
            <rFont val="Tahoma"/>
            <family val="2"/>
          </rPr>
          <t>Coefficient: 1, Nom: Test13</t>
        </r>
      </text>
    </comment>
    <comment ref="E19" authorId="0" shapeId="0" xr:uid="{7DE9826F-F9AB-4B47-8AF6-5EA38CC43336}">
      <text>
        <r>
          <rPr>
            <sz val="9"/>
            <color indexed="81"/>
            <rFont val="Tahoma"/>
            <family val="2"/>
          </rPr>
          <t>Coefficient: 1, Nom: Test14</t>
        </r>
      </text>
    </comment>
    <comment ref="E20" authorId="0" shapeId="0" xr:uid="{85553440-CBC4-44F4-926B-9C7BC044C4E3}">
      <text>
        <r>
          <rPr>
            <sz val="9"/>
            <color indexed="81"/>
            <rFont val="Tahoma"/>
            <family val="2"/>
          </rPr>
          <t>Coefficient: 1, Nom: Test15</t>
        </r>
      </text>
    </comment>
    <comment ref="E21" authorId="0" shapeId="0" xr:uid="{39FC1A80-1EC3-4646-A852-417F3FD2F419}">
      <text>
        <r>
          <rPr>
            <sz val="9"/>
            <color indexed="81"/>
            <rFont val="Tahoma"/>
            <family val="2"/>
          </rPr>
          <t>Coefficient: 1, Nom: Test16</t>
        </r>
      </text>
    </comment>
    <comment ref="E26" authorId="0" shapeId="0" xr:uid="{38B9B9F2-51DD-4D90-B06A-786C035B065B}">
      <text>
        <r>
          <rPr>
            <sz val="9"/>
            <color indexed="81"/>
            <rFont val="Tahoma"/>
            <family val="2"/>
          </rPr>
          <t>Coefficient: 1, Nom: Test17</t>
        </r>
      </text>
    </comment>
    <comment ref="E27" authorId="0" shapeId="0" xr:uid="{88F5AC60-E066-477B-A34B-45350FC2F2E2}">
      <text>
        <r>
          <rPr>
            <sz val="9"/>
            <color indexed="81"/>
            <rFont val="Tahoma"/>
            <family val="2"/>
          </rPr>
          <t>Coefficient: 1, Nom: Test18</t>
        </r>
      </text>
    </comment>
    <comment ref="E28" authorId="0" shapeId="0" xr:uid="{40576681-5BE6-4783-AA81-7ED5C8182825}">
      <text>
        <r>
          <rPr>
            <sz val="9"/>
            <color indexed="81"/>
            <rFont val="Tahoma"/>
            <family val="2"/>
          </rPr>
          <t>Coefficient: 1, Nom: Test19</t>
        </r>
      </text>
    </comment>
    <comment ref="E29" authorId="0" shapeId="0" xr:uid="{0D5A2719-B4AD-42B1-9626-ED4EACE83182}">
      <text>
        <r>
          <rPr>
            <sz val="9"/>
            <color indexed="81"/>
            <rFont val="Tahoma"/>
            <family val="2"/>
          </rPr>
          <t>Coefficient: 1, Nom: Test19</t>
        </r>
      </text>
    </comment>
    <comment ref="E30" authorId="0" shapeId="0" xr:uid="{30F93D13-1BF0-4577-BF98-4FFAA493B89E}">
      <text>
        <r>
          <rPr>
            <sz val="9"/>
            <color indexed="81"/>
            <rFont val="Tahoma"/>
            <family val="2"/>
          </rPr>
          <t>Coefficient: 1, Nom: Test20</t>
        </r>
      </text>
    </comment>
    <comment ref="E31" authorId="0" shapeId="0" xr:uid="{29A8721B-BFC9-4035-A2BA-FC67CC93C6B1}">
      <text>
        <r>
          <rPr>
            <sz val="9"/>
            <color indexed="81"/>
            <rFont val="Tahoma"/>
            <family val="2"/>
          </rPr>
          <t>Coefficient: 1, Nom: Test21</t>
        </r>
      </text>
    </comment>
    <comment ref="E32" authorId="0" shapeId="0" xr:uid="{5637D3C7-224C-4EB1-876E-F9BBB8441AD7}">
      <text>
        <r>
          <rPr>
            <sz val="9"/>
            <color indexed="81"/>
            <rFont val="Tahoma"/>
            <family val="2"/>
          </rPr>
          <t>Coefficient: 1, Nom: Test22</t>
        </r>
      </text>
    </comment>
    <comment ref="E33" authorId="0" shapeId="0" xr:uid="{F8DA2B38-05A6-42ED-B261-7E20D5469E4D}">
      <text>
        <r>
          <rPr>
            <sz val="9"/>
            <color indexed="81"/>
            <rFont val="Tahoma"/>
            <family val="2"/>
          </rPr>
          <t>Coefficient: 1, Nom: Test23</t>
        </r>
      </text>
    </comment>
    <comment ref="E34" authorId="0" shapeId="0" xr:uid="{B808490E-042B-4084-AF92-CCAB8869AC01}">
      <text>
        <r>
          <rPr>
            <sz val="9"/>
            <color indexed="81"/>
            <rFont val="Tahoma"/>
            <family val="2"/>
          </rPr>
          <t>Coefficient: 1, Nom: Test23</t>
        </r>
      </text>
    </comment>
    <comment ref="E36" authorId="0" shapeId="0" xr:uid="{532760CF-D3DF-4CE0-A435-9242448DD2E0}">
      <text>
        <r>
          <rPr>
            <sz val="9"/>
            <color indexed="81"/>
            <rFont val="Tahoma"/>
            <family val="2"/>
          </rPr>
          <t>Coefficient: 1, Nom: Test24</t>
        </r>
      </text>
    </comment>
    <comment ref="E37" authorId="0" shapeId="0" xr:uid="{FD6CBDBB-3C93-4F1E-8A41-A503D8A77FBB}">
      <text>
        <r>
          <rPr>
            <sz val="9"/>
            <color indexed="81"/>
            <rFont val="Tahoma"/>
            <family val="2"/>
          </rPr>
          <t>Coefficient: 1, Nom: Test25</t>
        </r>
      </text>
    </comment>
    <comment ref="E38" authorId="0" shapeId="0" xr:uid="{BA38DDA8-4829-4575-BD2B-6FC7DFFEF016}">
      <text>
        <r>
          <rPr>
            <sz val="9"/>
            <color indexed="81"/>
            <rFont val="Tahoma"/>
            <family val="2"/>
          </rPr>
          <t>Coefficient: 1, Nom: Test25</t>
        </r>
      </text>
    </comment>
    <comment ref="E39" authorId="0" shapeId="0" xr:uid="{4FB6C737-4FD3-4AD4-83C4-C02DC3218F57}">
      <text>
        <r>
          <rPr>
            <sz val="9"/>
            <color indexed="81"/>
            <rFont val="Tahoma"/>
            <family val="2"/>
          </rPr>
          <t>Coefficient: 1, Nom: Test26</t>
        </r>
      </text>
    </comment>
    <comment ref="E40" authorId="0" shapeId="0" xr:uid="{F4710C31-4F54-4ABF-83AD-EEA1199F8E69}">
      <text>
        <r>
          <rPr>
            <sz val="9"/>
            <color indexed="81"/>
            <rFont val="Tahoma"/>
            <family val="2"/>
          </rPr>
          <t>Coefficient: 1, Nom: Test20</t>
        </r>
      </text>
    </comment>
    <comment ref="E41" authorId="0" shapeId="0" xr:uid="{D0E1F343-34C1-49B5-BAB5-240322575AE0}">
      <text>
        <r>
          <rPr>
            <sz val="9"/>
            <color indexed="81"/>
            <rFont val="Tahoma"/>
            <charset val="1"/>
          </rPr>
          <t>Coefficient: 1, Nom: Test29</t>
        </r>
      </text>
    </comment>
    <comment ref="E42" authorId="0" shapeId="0" xr:uid="{5A11AFFF-6CD4-4E87-8776-47F67A5AC632}">
      <text>
        <r>
          <rPr>
            <sz val="9"/>
            <color indexed="81"/>
            <rFont val="Tahoma"/>
            <charset val="1"/>
          </rPr>
          <t>Coefficient: 1, Nom: Test30</t>
        </r>
      </text>
    </comment>
    <comment ref="E43" authorId="0" shapeId="0" xr:uid="{63AA22EF-7A75-4831-92BA-821F9C686D09}">
      <text>
        <r>
          <rPr>
            <sz val="9"/>
            <color indexed="81"/>
            <rFont val="Tahoma"/>
            <family val="2"/>
          </rPr>
          <t>Coefficient: 1, Nom: Test22</t>
        </r>
      </text>
    </comment>
    <comment ref="E44" authorId="0" shapeId="0" xr:uid="{44ED30DE-B2F6-42E2-97A5-1B21B72C200D}">
      <text>
        <r>
          <rPr>
            <sz val="9"/>
            <color indexed="81"/>
            <rFont val="Tahoma"/>
            <family val="2"/>
          </rPr>
          <t>Coefficient: 1, Nom: Test23</t>
        </r>
      </text>
    </comment>
    <comment ref="E45" authorId="0" shapeId="0" xr:uid="{02545720-D5A1-49AD-864F-8C6A645A12C4}">
      <text>
        <r>
          <rPr>
            <sz val="9"/>
            <color indexed="81"/>
            <rFont val="Tahoma"/>
            <family val="2"/>
          </rPr>
          <t>Coefficient: 1, Nom: Test23</t>
        </r>
      </text>
    </comment>
    <comment ref="E47" authorId="0" shapeId="0" xr:uid="{7A369040-F41E-479C-83F9-069A5B323EFA}">
      <text>
        <r>
          <rPr>
            <sz val="9"/>
            <color indexed="81"/>
            <rFont val="Tahoma"/>
            <charset val="1"/>
          </rPr>
          <t>Coefficient: 1, Nom: Test31</t>
        </r>
      </text>
    </comment>
    <comment ref="E48" authorId="0" shapeId="0" xr:uid="{8328ED61-15CA-4BAB-B647-8B6CE537589F}">
      <text>
        <r>
          <rPr>
            <sz val="9"/>
            <color indexed="81"/>
            <rFont val="Tahoma"/>
            <charset val="1"/>
          </rPr>
          <t>Coefficient: 1, Nom: Test32</t>
        </r>
      </text>
    </comment>
    <comment ref="E49" authorId="0" shapeId="0" xr:uid="{4519F1A8-08BC-4F08-8A7A-072824B7C610}">
      <text>
        <r>
          <rPr>
            <sz val="9"/>
            <color indexed="81"/>
            <rFont val="Tahoma"/>
            <charset val="1"/>
          </rPr>
          <t>Coefficient: 1, Nom: Test33</t>
        </r>
      </text>
    </comment>
    <comment ref="E50" authorId="0" shapeId="0" xr:uid="{17911FE7-3BB8-4DCD-BCA5-D28B48E3C784}">
      <text>
        <r>
          <rPr>
            <sz val="9"/>
            <color indexed="81"/>
            <rFont val="Tahoma"/>
            <family val="2"/>
          </rPr>
          <t>Coefficient: 1, Nom: Test20</t>
        </r>
      </text>
    </comment>
    <comment ref="E51" authorId="0" shapeId="0" xr:uid="{C522C3B6-55C9-41BC-9A38-70A23C822A26}">
      <text>
        <r>
          <rPr>
            <sz val="9"/>
            <color indexed="81"/>
            <rFont val="Tahoma"/>
            <family val="2"/>
          </rPr>
          <t>Coefficient: 1, Nom: Test22</t>
        </r>
      </text>
    </comment>
    <comment ref="E52" authorId="0" shapeId="0" xr:uid="{4556A987-FCC6-4E47-B193-6FA14684B69F}">
      <text>
        <r>
          <rPr>
            <sz val="9"/>
            <color indexed="81"/>
            <rFont val="Tahoma"/>
            <charset val="1"/>
          </rPr>
          <t>Coefficient: 1, Nom: Test34</t>
        </r>
      </text>
    </comment>
    <comment ref="E53" authorId="0" shapeId="0" xr:uid="{55B405AE-C150-4762-A9E1-A89F216C7B65}">
      <text>
        <r>
          <rPr>
            <sz val="9"/>
            <color indexed="81"/>
            <rFont val="Tahoma"/>
            <family val="2"/>
          </rPr>
          <t>Coefficient: 1, Nom: Test23</t>
        </r>
      </text>
    </comment>
    <comment ref="E54" authorId="0" shapeId="0" xr:uid="{A95EB9D6-6D0F-43E2-85ED-24DA00C4C047}">
      <text>
        <r>
          <rPr>
            <sz val="9"/>
            <color indexed="81"/>
            <rFont val="Tahoma"/>
            <family val="2"/>
          </rPr>
          <t>Coefficient: 1, Nom: Test23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<sst xmlns="http://schemas.openxmlformats.org/spreadsheetml/2006/main" count="382" uniqueCount="88">
  <si>
    <t>Semestre</t>
  </si>
  <si>
    <t>Semestre 1</t>
  </si>
  <si>
    <t>Tableur et Reporting</t>
  </si>
  <si>
    <t>Bases de données relationnelles 1</t>
  </si>
  <si>
    <t>Bases de la programmation 1</t>
  </si>
  <si>
    <t>PPP1</t>
  </si>
  <si>
    <t>SAÉ - Écriture et lecture de fichiers de données</t>
  </si>
  <si>
    <t>Statistique descriptive 1</t>
  </si>
  <si>
    <t>Probabilités 1</t>
  </si>
  <si>
    <t>Mathématiques - analyse</t>
  </si>
  <si>
    <t>Compétence 3 :Valoriser une production dans un contexte professionnel</t>
  </si>
  <si>
    <t>Initiation à l'anglais de spécialité</t>
  </si>
  <si>
    <t>Communication de l'information et recherche documentaire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</si>
  <si>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</si>
  <si>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</si>
  <si>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</si>
  <si>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</si>
  <si>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</si>
  <si>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</si>
  <si>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</si>
  <si>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</si>
  <si>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</si>
  <si>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</si>
  <si>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</si>
  <si>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</si>
  <si>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</si>
  <si>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</si>
  <si>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</si>
  <si>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</si>
  <si>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</si>
  <si>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</si>
  <si>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SAÉ - Construction et présentation d'indicateurs de performance</t>
  </si>
  <si>
    <t>Ressources</t>
  </si>
  <si>
    <t>Notes</t>
  </si>
  <si>
    <t>COMPETENCES</t>
  </si>
  <si>
    <t>RESSOURCES</t>
  </si>
  <si>
    <t>COEFFICIENTS</t>
  </si>
  <si>
    <t>MOYENNES</t>
  </si>
  <si>
    <t>Compétence 1 :Traiter des données à des fins décisionnelles</t>
  </si>
  <si>
    <t>MOYENNE DE LA COMPÉTENCE :</t>
  </si>
  <si>
    <t>Compétence 2 :Analyser statistiquement les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</si>
  <si>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</si>
  <si>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</si>
  <si>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</si>
  <si>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</si>
  <si>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Étude des données de l'environnement entrepreneurial et économique</t>
  </si>
  <si>
    <t>Compétences</t>
  </si>
  <si>
    <t>Noms</t>
  </si>
  <si>
    <t>Coefficients</t>
  </si>
  <si>
    <t>MOYENNE</t>
  </si>
  <si>
    <t>SEMESTRE</t>
  </si>
  <si>
    <t xml:space="preserve"> </t>
  </si>
  <si>
    <t>Découverte des données de l’environnement entrepreneurial et économique</t>
  </si>
  <si>
    <t>SAÉ - Reporting à partir de données stockées dans un SGBD relationnel</t>
  </si>
  <si>
    <t xml:space="preserve">    LE TRIBUNAL DES MOYENNES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</si>
  <si>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</si>
  <si>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</si>
  <si>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</si>
  <si>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</si>
  <si>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</si>
  <si>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</si>
  <si>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</si>
  <si>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</si>
  <si>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</si>
  <si>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</si>
  <si>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</si>
  <si>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</si>
  <si>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</si>
  <si>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</si>
  <si>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</si>
  <si>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</si>
  <si>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</si>
  <si>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13,5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</si>
  <si>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</si>
  <si>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</si>
  <si>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</si>
  <si>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</si>
  <si>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</si>
  <si>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</si>
  <si>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</si>
  <si>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</si>
  <si>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</si>
  <si>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Test29</t>
  </si>
  <si>
    <t>Test30</t>
  </si>
  <si>
    <t>Test31</t>
  </si>
  <si>
    <t>Test32</t>
  </si>
  <si>
    <t>Test33</t>
  </si>
  <si>
    <t>Test34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</si>
</sst>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22"/>
      <color rgb="FF9C0006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charset val="1"/>
    </font>
    <font>
      <sz val="22"/>
      <color rgb="FF9C0006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10" borderId="0" applyNumberFormat="0" applyBorder="0" applyAlignment="0" applyProtection="0"/>
  </cellStyleXfs>
  <cellXfs count="61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/>
    <xf numFmtId="0" fontId="2" fillId="2" borderId="3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2" fillId="0" borderId="9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5" borderId="9" xfId="0" applyFont="1" applyFill="1" applyBorder="1" applyAlignment="1">
      <alignment vertical="center" wrapText="1"/>
    </xf>
    <xf numFmtId="0" fontId="3" fillId="5" borderId="10" xfId="0" applyFont="1" applyFill="1" applyBorder="1" applyAlignment="1">
      <alignment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vertical="center" wrapText="1"/>
    </xf>
    <xf numFmtId="0" fontId="3" fillId="3" borderId="9" xfId="0" applyFont="1" applyFill="1" applyBorder="1" applyAlignment="1">
      <alignment vertical="center"/>
    </xf>
    <xf numFmtId="0" fontId="3" fillId="6" borderId="12" xfId="0" applyFont="1" applyFill="1" applyBorder="1" applyAlignment="1">
      <alignment vertical="center" wrapText="1"/>
    </xf>
    <xf numFmtId="0" fontId="2" fillId="0" borderId="9" xfId="0" applyFont="1" applyBorder="1"/>
    <xf numFmtId="0" fontId="2" fillId="7" borderId="9" xfId="0" applyFont="1" applyFill="1" applyBorder="1" applyAlignment="1">
      <alignment vertical="center" wrapText="1"/>
    </xf>
    <xf numFmtId="0" fontId="3" fillId="7" borderId="10" xfId="0" applyFont="1" applyFill="1" applyBorder="1" applyAlignment="1">
      <alignment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vertical="center" wrapText="1"/>
    </xf>
    <xf numFmtId="0" fontId="3" fillId="7" borderId="12" xfId="0" applyFont="1" applyFill="1" applyBorder="1" applyAlignment="1">
      <alignment vertical="center" wrapText="1"/>
    </xf>
    <xf numFmtId="0" fontId="3" fillId="8" borderId="12" xfId="0" applyFont="1" applyFill="1" applyBorder="1" applyAlignment="1">
      <alignment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2" fillId="2" borderId="15" xfId="0" applyFont="1" applyFill="1" applyBorder="1" applyAlignment="1">
      <alignment vertical="center" wrapText="1"/>
    </xf>
    <xf numFmtId="0" fontId="3" fillId="2" borderId="1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6" borderId="11" xfId="0" applyFont="1" applyFill="1" applyBorder="1" applyAlignment="1">
      <alignment vertical="center" wrapText="1"/>
    </xf>
    <xf numFmtId="0" fontId="3" fillId="3" borderId="9" xfId="0" applyFont="1" applyFill="1" applyBorder="1" applyAlignment="1">
      <alignment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vertical="center" wrapText="1"/>
    </xf>
    <xf numFmtId="0" fontId="3" fillId="8" borderId="11" xfId="0" applyFont="1" applyFill="1" applyBorder="1" applyAlignment="1">
      <alignment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6" fillId="0" borderId="0" xfId="1" applyAlignment="1">
      <alignment horizontal="center" vertical="center"/>
    </xf>
    <xf numFmtId="0" fontId="6" fillId="0" borderId="1" xfId="1" applyBorder="1"/>
    <xf numFmtId="2" fontId="0" fillId="0" borderId="1" xfId="0" applyNumberFormat="1" applyBorder="1"/>
    <xf numFmtId="0" fontId="1" fillId="9" borderId="0" xfId="0" applyFont="1" applyFill="1"/>
    <xf numFmtId="0" fontId="7" fillId="10" borderId="0" xfId="2"/>
    <xf numFmtId="0" fontId="8" fillId="10" borderId="0" xfId="2" applyFont="1"/>
    <xf numFmtId="0" fontId="11" fillId="10" borderId="0" xfId="2" applyFont="1"/>
    <xf numFmtId="2" fontId="0" fillId="0" borderId="14" xfId="0" applyNumberFormat="1" applyBorder="1"/>
    <xf numFmtId="0" fontId="1" fillId="0" borderId="1" xfId="0" applyFont="1" applyBorder="1" applyAlignment="1">
      <alignment horizontal="center"/>
    </xf>
  </cellXfs>
  <cellStyles count="3">
    <cellStyle name="Insatisfaisant" xfId="2" builtinId="27"/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Graphique</a:t>
            </a:r>
            <a:r>
              <a:rPr lang="fr-FR" sz="1600" b="1" baseline="0"/>
              <a:t> des notes par ressources de la compétence 1 au semestre 1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'Moyennes des ressources'!$B$2:$B$7</c:f>
              <c:strCache>
                <c:ptCount val="6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</c:v>
                </c:pt>
                <c:pt idx="4">
                  <c:v>SAÉ - Reporting à partir de données stockées dans un SGBD relationnel</c:v>
                </c:pt>
                <c:pt idx="5">
                  <c:v>SAÉ - Écriture et lecture de fichiers de données</c:v>
                </c:pt>
              </c:strCache>
            </c:strRef>
          </c:cat>
          <c:val>
            <c:numRef>
              <c:f>'Moyennes des ressources'!$C$2:$C$7</c:f>
              <c:numCache>
                <c:formatCode>General</c:formatCode>
                <c:ptCount val="6"/>
                <c:pt idx="0">
                  <c:v>15</c:v>
                </c:pt>
                <c:pt idx="1">
                  <c:v>12</c:v>
                </c:pt>
                <c:pt idx="2">
                  <c:v>8</c:v>
                </c:pt>
                <c:pt idx="3">
                  <c:v>13</c:v>
                </c:pt>
                <c:pt idx="4">
                  <c:v>18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C-4EED-B213-DF1089668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2526432"/>
        <c:axId val="1342522112"/>
      </c:radarChart>
      <c:catAx>
        <c:axId val="134252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2522112"/>
        <c:crosses val="autoZero"/>
        <c:auto val="1"/>
        <c:lblAlgn val="ctr"/>
        <c:lblOffset val="100"/>
        <c:noMultiLvlLbl val="0"/>
      </c:catAx>
      <c:valAx>
        <c:axId val="13425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252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</a:t>
            </a:r>
            <a:r>
              <a:rPr lang="fr-FR" baseline="0"/>
              <a:t> des notes par ressources de la compétence 2 au semestre 1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'Moyennes des ressources'!$B$8:$B$11</c:f>
              <c:strCache>
                <c:ptCount val="4"/>
                <c:pt idx="0">
                  <c:v>Statistique descriptive 1</c:v>
                </c:pt>
                <c:pt idx="1">
                  <c:v>Probabilités 1</c:v>
                </c:pt>
                <c:pt idx="2">
                  <c:v>Mathématiques - analyse</c:v>
                </c:pt>
                <c:pt idx="3">
                  <c:v>SAÉ - Préparation et synthèse d'un tableau de données en vue d'une analyse exploratoire simple</c:v>
                </c:pt>
              </c:strCache>
            </c:strRef>
          </c:cat>
          <c:val>
            <c:numRef>
              <c:f>'Moyennes des ressources'!$C$8:$C$11</c:f>
              <c:numCache>
                <c:formatCode>General</c:formatCode>
                <c:ptCount val="4"/>
                <c:pt idx="0">
                  <c:v>12</c:v>
                </c:pt>
                <c:pt idx="1">
                  <c:v>17</c:v>
                </c:pt>
                <c:pt idx="2">
                  <c:v>13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8-455E-BFA3-8AF761D4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156783"/>
        <c:axId val="1604163023"/>
      </c:radarChart>
      <c:catAx>
        <c:axId val="160415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4163023"/>
        <c:crosses val="autoZero"/>
        <c:auto val="1"/>
        <c:lblAlgn val="ctr"/>
        <c:lblOffset val="100"/>
        <c:noMultiLvlLbl val="0"/>
      </c:catAx>
      <c:valAx>
        <c:axId val="16041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415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Graphique</a:t>
            </a:r>
            <a:r>
              <a:rPr lang="fr-FR" sz="1600" b="1" baseline="0"/>
              <a:t> des notes par ressources de la compétence 3 au semestre 1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'Moyennes des ressources'!$B$12:$B$17</c:f>
              <c:strCache>
                <c:ptCount val="6"/>
                <c:pt idx="0">
                  <c:v>Initiation à l'anglais de spécialité</c:v>
                </c:pt>
                <c:pt idx="1">
                  <c:v>Communication de l'information et recherche documentaire</c:v>
                </c:pt>
                <c:pt idx="2">
                  <c:v>Découverte des données de l’environnement entrepreneurial et économique</c:v>
                </c:pt>
                <c:pt idx="3">
                  <c:v>SAÉ - Apprendre en situation la production de données en entreprise</c:v>
                </c:pt>
                <c:pt idx="4">
                  <c:v>SAÉ - Présentation en anglais d'un territoire économique et culturel</c:v>
                </c:pt>
                <c:pt idx="5">
                  <c:v>SAÉ - Mise en oeuvre d'une enquête</c:v>
                </c:pt>
              </c:strCache>
            </c:strRef>
          </c:cat>
          <c:val>
            <c:numRef>
              <c:f>'Moyennes des ressources'!$C$12:$C$17</c:f>
              <c:numCache>
                <c:formatCode>General</c:formatCode>
                <c:ptCount val="6"/>
                <c:pt idx="0">
                  <c:v>12</c:v>
                </c:pt>
                <c:pt idx="1">
                  <c:v>13</c:v>
                </c:pt>
                <c:pt idx="2">
                  <c:v>7</c:v>
                </c:pt>
                <c:pt idx="3">
                  <c:v>7</c:v>
                </c:pt>
                <c:pt idx="4">
                  <c:v>12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8-4853-A991-5C095D515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144847"/>
        <c:axId val="439145327"/>
      </c:radarChart>
      <c:catAx>
        <c:axId val="439144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145327"/>
        <c:crosses val="autoZero"/>
        <c:auto val="1"/>
        <c:lblAlgn val="ctr"/>
        <c:lblOffset val="100"/>
        <c:noMultiLvlLbl val="0"/>
      </c:catAx>
      <c:valAx>
        <c:axId val="439145327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9144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Graphique</a:t>
            </a:r>
            <a:r>
              <a:rPr lang="fr-FR" sz="1600" b="1" baseline="0"/>
              <a:t> des notes par ressources de la compétence 1 au semestre 2</a:t>
            </a:r>
            <a:endParaRPr lang="fr-F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'Moyennes des ressources'!$B$18:$B$26</c:f>
              <c:strCache>
                <c:ptCount val="9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  <c:pt idx="5">
                  <c:v>SAÉ - Conception et implémentation d'une base de données</c:v>
                </c:pt>
                <c:pt idx="6">
                  <c:v>SAÉ - Datavisualisation</c:v>
                </c:pt>
                <c:pt idx="7">
                  <c:v>SAÉ - Analyse de données, reporting et datavisualisation</c:v>
                </c:pt>
                <c:pt idx="8">
                  <c:v>SAÉ - Portfolio</c:v>
                </c:pt>
              </c:strCache>
            </c:strRef>
          </c:cat>
          <c:val>
            <c:numRef>
              <c:f>'Moyennes des ressources'!$C$18:$C$26</c:f>
              <c:numCache>
                <c:formatCode>General</c:formatCode>
                <c:ptCount val="9"/>
                <c:pt idx="0">
                  <c:v>12</c:v>
                </c:pt>
                <c:pt idx="1">
                  <c:v>13.5</c:v>
                </c:pt>
                <c:pt idx="2">
                  <c:v>15</c:v>
                </c:pt>
                <c:pt idx="3">
                  <c:v>10</c:v>
                </c:pt>
                <c:pt idx="4">
                  <c:v>18</c:v>
                </c:pt>
                <c:pt idx="5">
                  <c:v>9</c:v>
                </c:pt>
                <c:pt idx="6">
                  <c:v>6</c:v>
                </c:pt>
                <c:pt idx="7">
                  <c:v>10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3-4ACB-97D3-2DCD8C002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400607"/>
        <c:axId val="642401087"/>
      </c:radarChart>
      <c:catAx>
        <c:axId val="6424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2401087"/>
        <c:crosses val="autoZero"/>
        <c:auto val="1"/>
        <c:lblAlgn val="ctr"/>
        <c:lblOffset val="100"/>
        <c:noMultiLvlLbl val="0"/>
      </c:catAx>
      <c:valAx>
        <c:axId val="64240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2400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Graphique des notes par ressources de la compétence 2 au semestre 2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'Moyennes des ressources'!$B$22:$B$32</c:f>
              <c:strCache>
                <c:ptCount val="11"/>
                <c:pt idx="0">
                  <c:v>PPP2</c:v>
                </c:pt>
                <c:pt idx="1">
                  <c:v>SAÉ - Conception et implémentation d'une base de données</c:v>
                </c:pt>
                <c:pt idx="2">
                  <c:v>SAÉ - Datavisualisation</c:v>
                </c:pt>
                <c:pt idx="3">
                  <c:v>SAÉ - Analyse de données, reporting et datavisualisation</c:v>
                </c:pt>
                <c:pt idx="4">
                  <c:v>SAÉ - Portfolio</c:v>
                </c:pt>
                <c:pt idx="5">
                  <c:v>Statistique descriptive 2</c:v>
                </c:pt>
                <c:pt idx="6">
                  <c:v>Probabilités 2</c:v>
                </c:pt>
                <c:pt idx="7">
                  <c:v>Bases de l'algèbre</c:v>
                </c:pt>
                <c:pt idx="8">
                  <c:v>Statistique inférentielle</c:v>
                </c:pt>
                <c:pt idx="9">
                  <c:v>SAÉ - Estimation par échantillonnage</c:v>
                </c:pt>
                <c:pt idx="10">
                  <c:v>SAÉ - Régression sur des données réelles</c:v>
                </c:pt>
              </c:strCache>
            </c:strRef>
          </c:cat>
          <c:val>
            <c:numRef>
              <c:f>'Moyennes des ressources'!$C$22:$C$32</c:f>
              <c:numCache>
                <c:formatCode>General</c:formatCode>
                <c:ptCount val="11"/>
                <c:pt idx="0">
                  <c:v>18</c:v>
                </c:pt>
                <c:pt idx="1">
                  <c:v>9</c:v>
                </c:pt>
                <c:pt idx="2">
                  <c:v>6</c:v>
                </c:pt>
                <c:pt idx="3">
                  <c:v>10</c:v>
                </c:pt>
                <c:pt idx="4">
                  <c:v>9</c:v>
                </c:pt>
                <c:pt idx="5">
                  <c:v>12</c:v>
                </c:pt>
                <c:pt idx="6">
                  <c:v>7</c:v>
                </c:pt>
                <c:pt idx="7">
                  <c:v>4</c:v>
                </c:pt>
                <c:pt idx="8">
                  <c:v>14</c:v>
                </c:pt>
                <c:pt idx="9">
                  <c:v>14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F-4329-AB58-4020ACEE9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371071"/>
        <c:axId val="633370591"/>
      </c:radarChart>
      <c:catAx>
        <c:axId val="63337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370591"/>
        <c:crosses val="autoZero"/>
        <c:auto val="1"/>
        <c:lblAlgn val="ctr"/>
        <c:lblOffset val="100"/>
        <c:noMultiLvlLbl val="0"/>
      </c:catAx>
      <c:valAx>
        <c:axId val="63337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337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Graphique des notes par ressources de la compétence 2 au semestre 2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'Moyennes des ressources'!$B$33:$B$40</c:f>
              <c:strCache>
                <c:ptCount val="8"/>
                <c:pt idx="0">
                  <c:v>Approfondissement de l'anglais de spécialité</c:v>
                </c:pt>
                <c:pt idx="1">
                  <c:v>Communication et sémiologie</c:v>
                </c:pt>
                <c:pt idx="2">
                  <c:v>Étude des données de l'environnement entrepreneurial et économique</c:v>
                </c:pt>
                <c:pt idx="3">
                  <c:v>SAÉ - Construction et présentation d'indicateurs de performance</c:v>
                </c:pt>
                <c:pt idx="4">
                  <c:v>SAÉ - Conception et implémentation d'une base de données</c:v>
                </c:pt>
                <c:pt idx="5">
                  <c:v>SAÉ - Datavisualisation</c:v>
                </c:pt>
                <c:pt idx="6">
                  <c:v>SAÉ - Analyse de données, reporting et datavisualisation</c:v>
                </c:pt>
                <c:pt idx="7">
                  <c:v>SAÉ - Portfolio</c:v>
                </c:pt>
              </c:strCache>
            </c:strRef>
          </c:cat>
          <c:val>
            <c:numRef>
              <c:f>'Moyennes des ressources'!$C$33:$C$40</c:f>
              <c:numCache>
                <c:formatCode>General</c:formatCode>
                <c:ptCount val="8"/>
                <c:pt idx="0">
                  <c:v>12</c:v>
                </c:pt>
                <c:pt idx="1">
                  <c:v>11</c:v>
                </c:pt>
                <c:pt idx="2">
                  <c:v>9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10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C-430F-B21C-CE7129824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799119"/>
        <c:axId val="628799599"/>
      </c:radarChart>
      <c:catAx>
        <c:axId val="62879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8799599"/>
        <c:crosses val="autoZero"/>
        <c:auto val="1"/>
        <c:lblAlgn val="ctr"/>
        <c:lblOffset val="100"/>
        <c:noMultiLvlLbl val="0"/>
      </c:catAx>
      <c:valAx>
        <c:axId val="62879959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8799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4</xdr:row>
          <xdr:rowOff>28575</xdr:rowOff>
        </xdr:from>
        <xdr:to>
          <xdr:col>7</xdr:col>
          <xdr:colOff>742950</xdr:colOff>
          <xdr:row>8</xdr:row>
          <xdr:rowOff>19050</xdr:rowOff>
        </xdr:to>
        <xdr:sp macro="" textlink="">
          <xdr:nvSpPr>
            <xdr:cNvPr id="1026" name="Btnno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17</xdr:row>
          <xdr:rowOff>142875</xdr:rowOff>
        </xdr:from>
        <xdr:to>
          <xdr:col>8</xdr:col>
          <xdr:colOff>19050</xdr:colOff>
          <xdr:row>21</xdr:row>
          <xdr:rowOff>85725</xdr:rowOff>
        </xdr:to>
        <xdr:sp macro="" textlink="">
          <xdr:nvSpPr>
            <xdr:cNvPr id="1027" name="BtnRein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9</xdr:row>
          <xdr:rowOff>28575</xdr:rowOff>
        </xdr:from>
        <xdr:to>
          <xdr:col>7</xdr:col>
          <xdr:colOff>742950</xdr:colOff>
          <xdr:row>12</xdr:row>
          <xdr:rowOff>85725</xdr:rowOff>
        </xdr:to>
        <xdr:sp macro="" textlink="">
          <xdr:nvSpPr>
            <xdr:cNvPr id="1028" name="btnouvrirmodi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13</xdr:row>
          <xdr:rowOff>104775</xdr:rowOff>
        </xdr:from>
        <xdr:to>
          <xdr:col>7</xdr:col>
          <xdr:colOff>752475</xdr:colOff>
          <xdr:row>16</xdr:row>
          <xdr:rowOff>104775</xdr:rowOff>
        </xdr:to>
        <xdr:sp macro="" textlink="">
          <xdr:nvSpPr>
            <xdr:cNvPr id="1029" name="decisionju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142876</xdr:colOff>
      <xdr:row>9</xdr:row>
      <xdr:rowOff>1</xdr:rowOff>
    </xdr:from>
    <xdr:to>
      <xdr:col>9</xdr:col>
      <xdr:colOff>28575</xdr:colOff>
      <xdr:row>12</xdr:row>
      <xdr:rowOff>76200</xdr:rowOff>
    </xdr:to>
    <xdr:pic>
      <xdr:nvPicPr>
        <xdr:cNvPr id="2" name="Image 1" descr="Icône de Poubelle Generic Grey | Freepik">
          <a:extLst>
            <a:ext uri="{FF2B5EF4-FFF2-40B4-BE49-F238E27FC236}">
              <a16:creationId xmlns:a16="http://schemas.microsoft.com/office/drawing/2014/main" id="{CF21D808-2D8F-0728-0B18-CD46A0AD6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6" y="1885951"/>
          <a:ext cx="647699" cy="647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352426</xdr:colOff>
      <xdr:row>12</xdr:row>
      <xdr:rowOff>114300</xdr:rowOff>
    </xdr:from>
    <xdr:to>
      <xdr:col>4</xdr:col>
      <xdr:colOff>531720</xdr:colOff>
      <xdr:row>16</xdr:row>
      <xdr:rowOff>114300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5E7F7E2C-379D-0E67-A588-943BC949D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2571750"/>
          <a:ext cx="941294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57149</xdr:colOff>
      <xdr:row>0</xdr:row>
      <xdr:rowOff>0</xdr:rowOff>
    </xdr:from>
    <xdr:to>
      <xdr:col>16</xdr:col>
      <xdr:colOff>390524</xdr:colOff>
      <xdr:row>25</xdr:row>
      <xdr:rowOff>7958</xdr:rowOff>
    </xdr:to>
    <xdr:pic>
      <xdr:nvPicPr>
        <xdr:cNvPr id="6" name="Image 5" descr="Marteau Jugement Justice Ai - Image gratuite sur Pixabay">
          <a:extLst>
            <a:ext uri="{FF2B5EF4-FFF2-40B4-BE49-F238E27FC236}">
              <a16:creationId xmlns:a16="http://schemas.microsoft.com/office/drawing/2014/main" id="{799D1E25-BC09-9D0A-A725-3A3989B3A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9149" y="0"/>
          <a:ext cx="4143375" cy="4941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</xdr:colOff>
      <xdr:row>2</xdr:row>
      <xdr:rowOff>47625</xdr:rowOff>
    </xdr:from>
    <xdr:to>
      <xdr:col>18</xdr:col>
      <xdr:colOff>19050</xdr:colOff>
      <xdr:row>15</xdr:row>
      <xdr:rowOff>161925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D437DEE-4A7F-4917-A109-EB779199E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219075</xdr:colOff>
      <xdr:row>2</xdr:row>
      <xdr:rowOff>47625</xdr:rowOff>
    </xdr:from>
    <xdr:to>
      <xdr:col>24</xdr:col>
      <xdr:colOff>219075</xdr:colOff>
      <xdr:row>15</xdr:row>
      <xdr:rowOff>161925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5E9B3C1-1EEE-479A-A1E1-9EA87391E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419100</xdr:colOff>
      <xdr:row>2</xdr:row>
      <xdr:rowOff>47625</xdr:rowOff>
    </xdr:from>
    <xdr:to>
      <xdr:col>30</xdr:col>
      <xdr:colOff>180975</xdr:colOff>
      <xdr:row>17</xdr:row>
      <xdr:rowOff>152400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782F7B5-1835-4C24-8BF7-B43BA71EF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476250</xdr:colOff>
      <xdr:row>18</xdr:row>
      <xdr:rowOff>47624</xdr:rowOff>
    </xdr:from>
    <xdr:to>
      <xdr:col>17</xdr:col>
      <xdr:colOff>628650</xdr:colOff>
      <xdr:row>33</xdr:row>
      <xdr:rowOff>76199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DAF1BB9-239D-43EC-B4B9-E1D6B53D0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161925</xdr:colOff>
      <xdr:row>18</xdr:row>
      <xdr:rowOff>28575</xdr:rowOff>
    </xdr:from>
    <xdr:to>
      <xdr:col>24</xdr:col>
      <xdr:colOff>161925</xdr:colOff>
      <xdr:row>33</xdr:row>
      <xdr:rowOff>28575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EFD16675-333B-40FF-9E42-F1E6D3361D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466724</xdr:colOff>
      <xdr:row>18</xdr:row>
      <xdr:rowOff>28574</xdr:rowOff>
    </xdr:from>
    <xdr:to>
      <xdr:col>30</xdr:col>
      <xdr:colOff>514349</xdr:colOff>
      <xdr:row>35</xdr:row>
      <xdr:rowOff>38100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E87C63A-3C55-4BC8-BB9E-D83468C4F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113B9-8CA4-4005-9D43-453D631FA691}">
  <sheetPr codeName="Feuil5"/>
  <dimension ref="E2:F2"/>
  <sheetViews>
    <sheetView tabSelected="1" workbookViewId="0">
      <selection activeCell="B11" sqref="B11"/>
    </sheetView>
  </sheetViews>
  <sheetFormatPr baseColWidth="10" defaultColWidth="11.42578125" defaultRowHeight="15" x14ac:dyDescent="0.25"/>
  <cols>
    <col min="1" max="16384" width="11.42578125" style="56"/>
  </cols>
  <sheetData>
    <row r="2" spans="5:6" ht="28.5" x14ac:dyDescent="0.45">
      <c r="E2" s="58" t="s">
        <v>54</v>
      </c>
      <c r="F2" s="5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decisionjury">
          <controlPr defaultSize="0" autoLine="0" r:id="rId5">
            <anchor moveWithCells="1">
              <from>
                <xdr:col>4</xdr:col>
                <xdr:colOff>714375</xdr:colOff>
                <xdr:row>13</xdr:row>
                <xdr:rowOff>104775</xdr:rowOff>
              </from>
              <to>
                <xdr:col>7</xdr:col>
                <xdr:colOff>752475</xdr:colOff>
                <xdr:row>16</xdr:row>
                <xdr:rowOff>104775</xdr:rowOff>
              </to>
            </anchor>
          </controlPr>
        </control>
      </mc:Choice>
      <mc:Fallback>
        <control shapeId="1029" r:id="rId4" name="decisionjury"/>
      </mc:Fallback>
    </mc:AlternateContent>
    <mc:AlternateContent xmlns:mc="http://schemas.openxmlformats.org/markup-compatibility/2006">
      <mc:Choice Requires="x14">
        <control shapeId="1028" r:id="rId6" name="btnouvrirmodif">
          <controlPr defaultSize="0" autoLine="0" r:id="rId7">
            <anchor moveWithCells="1">
              <from>
                <xdr:col>4</xdr:col>
                <xdr:colOff>714375</xdr:colOff>
                <xdr:row>9</xdr:row>
                <xdr:rowOff>28575</xdr:rowOff>
              </from>
              <to>
                <xdr:col>7</xdr:col>
                <xdr:colOff>742950</xdr:colOff>
                <xdr:row>12</xdr:row>
                <xdr:rowOff>85725</xdr:rowOff>
              </to>
            </anchor>
          </controlPr>
        </control>
      </mc:Choice>
      <mc:Fallback>
        <control shapeId="1028" r:id="rId6" name="btnouvrirmodif"/>
      </mc:Fallback>
    </mc:AlternateContent>
    <mc:AlternateContent xmlns:mc="http://schemas.openxmlformats.org/markup-compatibility/2006">
      <mc:Choice Requires="x14">
        <control shapeId="1027" r:id="rId8" name="BtnReinit">
          <controlPr defaultSize="0" autoLine="0" autoPict="0" r:id="rId9">
            <anchor moveWithCells="1">
              <from>
                <xdr:col>4</xdr:col>
                <xdr:colOff>704850</xdr:colOff>
                <xdr:row>17</xdr:row>
                <xdr:rowOff>142875</xdr:rowOff>
              </from>
              <to>
                <xdr:col>8</xdr:col>
                <xdr:colOff>19050</xdr:colOff>
                <xdr:row>21</xdr:row>
                <xdr:rowOff>85725</xdr:rowOff>
              </to>
            </anchor>
          </controlPr>
        </control>
      </mc:Choice>
      <mc:Fallback>
        <control shapeId="1027" r:id="rId8" name="BtnReinit"/>
      </mc:Fallback>
    </mc:AlternateContent>
    <mc:AlternateContent xmlns:mc="http://schemas.openxmlformats.org/markup-compatibility/2006">
      <mc:Choice Requires="x14">
        <control shapeId="1026" r:id="rId10" name="Btnnote">
          <controlPr defaultSize="0" autoLine="0" r:id="rId11">
            <anchor moveWithCells="1">
              <from>
                <xdr:col>4</xdr:col>
                <xdr:colOff>704850</xdr:colOff>
                <xdr:row>4</xdr:row>
                <xdr:rowOff>28575</xdr:rowOff>
              </from>
              <to>
                <xdr:col>7</xdr:col>
                <xdr:colOff>742950</xdr:colOff>
                <xdr:row>8</xdr:row>
                <xdr:rowOff>19050</xdr:rowOff>
              </to>
            </anchor>
          </controlPr>
        </control>
      </mc:Choice>
      <mc:Fallback>
        <control shapeId="1026" r:id="rId10" name="Btnno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11D40-615B-48EE-9658-76F3899C71BC}">
  <sheetPr codeName="Feuil3"/>
  <dimension ref="A1:J55"/>
  <sheetViews>
    <sheetView topLeftCell="B4" workbookViewId="0">
      <selection activeCell="K52" sqref="K52"/>
    </sheetView>
  </sheetViews>
  <sheetFormatPr baseColWidth="10" defaultColWidth="11.42578125" defaultRowHeight="15" x14ac:dyDescent="0.25"/>
  <cols>
    <col min="2" max="2" width="64" customWidth="1"/>
    <col min="3" max="3" width="84.28515625" customWidth="1"/>
    <col min="4" max="4" width="13.28515625" bestFit="1" customWidth="1"/>
    <col min="10" max="10" width="17.85546875" bestFit="1" customWidth="1"/>
  </cols>
  <sheetData>
    <row r="1" spans="1:10" x14ac:dyDescent="0.25">
      <c r="B1" s="2" t="s">
        <v>34</v>
      </c>
      <c r="C1" s="3" t="s">
        <v>35</v>
      </c>
      <c r="D1" s="2" t="s">
        <v>36</v>
      </c>
      <c r="E1" s="60"/>
      <c r="F1" s="60"/>
      <c r="G1" s="60"/>
      <c r="H1" s="60"/>
      <c r="I1" s="60"/>
      <c r="J1" s="2" t="s">
        <v>37</v>
      </c>
    </row>
    <row r="2" spans="1:10" x14ac:dyDescent="0.25">
      <c r="A2" s="4" t="s">
        <v>1</v>
      </c>
      <c r="B2" s="5" t="s">
        <v>38</v>
      </c>
      <c r="C2" s="6" t="s">
        <v>2</v>
      </c>
      <c r="D2" s="7">
        <v>15</v>
      </c>
      <c r="E2" s="53">
        <v>15</v>
      </c>
      <c r="F2" s="53"/>
      <c r="G2" s="53"/>
      <c r="H2" s="53"/>
      <c r="I2" s="1"/>
      <c r="J2" s="54" cm="1">
        <f t="array" ref="J2">IF(SUMPRODUCT(--(ISNUMBER(SEARCH("ABI", LOWER('Tableau de bord'!$E$2:$I$1000))))) &gt; 0,
   "Année non validée",
   IFERROR(SUMPRODUCT((Notes!$A$2:$A$991=A2)*(Notes!$B$2:$B$991=B2)*(Notes!$C$2:$C$991=C2), Notes!$D$2:$D$991, Notes!$E$2:$E$991) /
            SUMPRODUCT((Notes!$A$2:$A$991=A2)*(Notes!$B$2:$B$991=B2)*(Notes!$C$2:$C$991=C2), Notes!$E$2:$E$991), ""))</f>
        <v>15</v>
      </c>
    </row>
    <row r="3" spans="1:10" x14ac:dyDescent="0.25">
      <c r="A3" s="4" t="s">
        <v>1</v>
      </c>
      <c r="B3" s="5" t="s">
        <v>38</v>
      </c>
      <c r="C3" s="6" t="s">
        <v>3</v>
      </c>
      <c r="D3" s="8">
        <v>20</v>
      </c>
      <c r="E3" s="53">
        <v>12</v>
      </c>
      <c r="F3" s="1"/>
      <c r="G3" s="1"/>
      <c r="H3" s="1"/>
      <c r="I3" s="1"/>
      <c r="J3" s="54" cm="1">
        <f t="array" ref="J3">IF(SUMPRODUCT(--(ISNUMBER(SEARCH("ABI", LOWER('Tableau de bord'!$E$2:$I$1000))))) &gt; 0,
   "Année non validée",
   IFERROR(SUMPRODUCT((Notes!$A$2:$A$991=A3)*(Notes!$B$2:$B$991=B3)*(Notes!$C$2:$C$991=C3), Notes!$D$2:$D$991, Notes!$E$2:$E$991) /
            SUMPRODUCT((Notes!$A$2:$A$991=A3)*(Notes!$B$2:$B$991=B3)*(Notes!$C$2:$C$991=C3), Notes!$E$2:$E$991), ""))</f>
        <v>12</v>
      </c>
    </row>
    <row r="4" spans="1:10" x14ac:dyDescent="0.25">
      <c r="A4" s="4" t="s">
        <v>1</v>
      </c>
      <c r="B4" s="5" t="s">
        <v>38</v>
      </c>
      <c r="C4" s="9" t="s">
        <v>4</v>
      </c>
      <c r="D4" s="10">
        <v>20</v>
      </c>
      <c r="E4" s="53">
        <v>8</v>
      </c>
      <c r="F4" s="1"/>
      <c r="G4" s="1"/>
      <c r="H4" s="1"/>
      <c r="I4" s="1"/>
      <c r="J4" s="54" cm="1">
        <f t="array" ref="J4">IF(SUMPRODUCT(--(ISNUMBER(SEARCH("ABI", LOWER('Tableau de bord'!$E$2:$I$1000))))) &gt; 0,
   "Année non validée",
   IFERROR(SUMPRODUCT((Notes!$A$2:$A$991=A4)*(Notes!$B$2:$B$991=B4)*(Notes!$C$2:$C$991=C4), Notes!$D$2:$D$991, Notes!$E$2:$E$991) /
            SUMPRODUCT((Notes!$A$2:$A$991=A4)*(Notes!$B$2:$B$991=B4)*(Notes!$C$2:$C$991=C4), Notes!$E$2:$E$991), ""))</f>
        <v>8</v>
      </c>
    </row>
    <row r="5" spans="1:10" x14ac:dyDescent="0.25">
      <c r="A5" s="4" t="s">
        <v>1</v>
      </c>
      <c r="B5" s="5" t="s">
        <v>38</v>
      </c>
      <c r="C5" s="11" t="s">
        <v>5</v>
      </c>
      <c r="D5" s="10">
        <v>5</v>
      </c>
      <c r="E5" s="53">
        <v>12</v>
      </c>
      <c r="F5" s="53"/>
      <c r="G5" s="1"/>
      <c r="H5" s="1"/>
      <c r="I5" s="1"/>
      <c r="J5" s="54" cm="1">
        <f t="array" ref="J5">IF(SUMPRODUCT(--(ISNUMBER(SEARCH("ABI", LOWER('Tableau de bord'!$E$2:$I$1000))))) &gt; 0,
   "Année non validée",
   IFERROR(SUMPRODUCT((Notes!$A$2:$A$991=A5)*(Notes!$B$2:$B$991=B5)*(Notes!$C$2:$C$991=C5), Notes!$D$2:$D$991, Notes!$E$2:$E$991) /
            SUMPRODUCT((Notes!$A$2:$A$991=A5)*(Notes!$B$2:$B$991=B5)*(Notes!$C$2:$C$991=C5), Notes!$E$2:$E$991), ""))</f>
        <v>12</v>
      </c>
    </row>
    <row r="6" spans="1:10" x14ac:dyDescent="0.25">
      <c r="A6" s="4" t="s">
        <v>1</v>
      </c>
      <c r="B6" s="5" t="s">
        <v>38</v>
      </c>
      <c r="C6" s="12" t="s">
        <v>53</v>
      </c>
      <c r="D6" s="10">
        <v>30</v>
      </c>
      <c r="E6" s="53">
        <v>18</v>
      </c>
      <c r="F6" s="1"/>
      <c r="G6" s="1"/>
      <c r="H6" s="1"/>
      <c r="I6" s="1"/>
      <c r="J6" s="54" cm="1">
        <f t="array" ref="J6">IF(SUMPRODUCT(--(ISNUMBER(SEARCH("ABI", LOWER('Tableau de bord'!$E$2:$I$1000))))) &gt; 0,
   "Année non validée",
   IFERROR(SUMPRODUCT((Notes!$A$2:$A$991=A6)*(Notes!$B$2:$B$991=B6)*(Notes!$C$2:$C$991=C6), Notes!$D$2:$D$991, Notes!$E$2:$E$991) /
            SUMPRODUCT((Notes!$A$2:$A$991=A6)*(Notes!$B$2:$B$991=B6)*(Notes!$C$2:$C$991=C6), Notes!$E$2:$E$991), ""))</f>
        <v>18</v>
      </c>
    </row>
    <row r="7" spans="1:10" x14ac:dyDescent="0.25">
      <c r="A7" s="4" t="s">
        <v>1</v>
      </c>
      <c r="B7" s="5" t="s">
        <v>38</v>
      </c>
      <c r="C7" s="13" t="s">
        <v>6</v>
      </c>
      <c r="D7" s="10">
        <v>10</v>
      </c>
      <c r="E7" s="53">
        <v>11</v>
      </c>
      <c r="F7" s="1"/>
      <c r="G7" s="1"/>
      <c r="H7" s="1"/>
      <c r="I7" s="1"/>
      <c r="J7" s="54" cm="1">
        <f t="array" ref="J7">IF(SUMPRODUCT(--(ISNUMBER(SEARCH("ABI", LOWER('Tableau de bord'!$E$2:$I$1000))))) &gt; 0,
   "Année non validée",
   IFERROR(SUMPRODUCT((Notes!$A$2:$A$991=A7)*(Notes!$B$2:$B$991=B7)*(Notes!$C$2:$C$991=C7), Notes!$D$2:$D$991, Notes!$E$2:$E$991) /
            SUMPRODUCT((Notes!$A$2:$A$991=A7)*(Notes!$B$2:$B$991=B7)*(Notes!$C$2:$C$991=C7), Notes!$E$2:$E$991), ""))</f>
        <v>11</v>
      </c>
    </row>
    <row r="8" spans="1:10" x14ac:dyDescent="0.25">
      <c r="A8" s="4" t="s">
        <v>1</v>
      </c>
      <c r="B8" s="14" t="s">
        <v>39</v>
      </c>
      <c r="C8" s="15"/>
      <c r="D8" s="16"/>
      <c r="J8" s="54">
        <v>13.35</v>
      </c>
    </row>
    <row r="9" spans="1:10" x14ac:dyDescent="0.25">
      <c r="A9" s="4" t="s">
        <v>1</v>
      </c>
      <c r="B9" s="17" t="s">
        <v>40</v>
      </c>
      <c r="C9" s="18" t="s">
        <v>7</v>
      </c>
      <c r="D9" s="19">
        <v>20</v>
      </c>
      <c r="E9" s="53">
        <v>12</v>
      </c>
      <c r="F9" s="1"/>
      <c r="G9" s="1"/>
      <c r="H9" s="1"/>
      <c r="I9" s="1"/>
      <c r="J9" s="54" cm="1">
        <f t="array" ref="J9">IF(SUMPRODUCT(--(ISNUMBER(SEARCH("ABI", LOWER('Tableau de bord'!$E$2:$I$1000))))) &gt; 0,
   "Année non validée",
   IFERROR(SUMPRODUCT((Notes!$A$2:$A$991=A9)*(Notes!$B$2:$B$991=B9)*(Notes!$C$2:$C$991=C9), Notes!$D$2:$D$991, Notes!$E$2:$E$991) /
            SUMPRODUCT((Notes!$A$2:$A$991=A9)*(Notes!$B$2:$B$991=B9)*(Notes!$C$2:$C$991=C9), Notes!$E$2:$E$991), ""))</f>
        <v>12</v>
      </c>
    </row>
    <row r="10" spans="1:10" x14ac:dyDescent="0.25">
      <c r="A10" s="4" t="s">
        <v>1</v>
      </c>
      <c r="B10" s="17" t="s">
        <v>40</v>
      </c>
      <c r="C10" s="20" t="s">
        <v>8</v>
      </c>
      <c r="D10" s="19">
        <v>15</v>
      </c>
      <c r="E10" s="53">
        <v>17</v>
      </c>
      <c r="F10" s="1"/>
      <c r="G10" s="1"/>
      <c r="H10" s="1"/>
      <c r="I10" s="1"/>
      <c r="J10" s="54" cm="1">
        <f t="array" ref="J10">IF(SUMPRODUCT(--(ISNUMBER(SEARCH("ABI", LOWER('Tableau de bord'!$E$2:$I$1000))))) &gt; 0,
   "Année non validée",
   IFERROR(SUMPRODUCT((Notes!$A$2:$A$991=A10)*(Notes!$B$2:$B$991=B10)*(Notes!$C$2:$C$991=C10), Notes!$D$2:$D$991, Notes!$E$2:$E$991) /
            SUMPRODUCT((Notes!$A$2:$A$991=A10)*(Notes!$B$2:$B$991=B10)*(Notes!$C$2:$C$991=C10), Notes!$E$2:$E$991), ""))</f>
        <v>17</v>
      </c>
    </row>
    <row r="11" spans="1:10" x14ac:dyDescent="0.25">
      <c r="A11" s="4" t="s">
        <v>1</v>
      </c>
      <c r="B11" s="17" t="s">
        <v>40</v>
      </c>
      <c r="C11" s="20" t="s">
        <v>9</v>
      </c>
      <c r="D11" s="19">
        <v>20</v>
      </c>
      <c r="E11" s="53">
        <v>13</v>
      </c>
      <c r="F11" s="1"/>
      <c r="G11" s="1"/>
      <c r="H11" s="1"/>
      <c r="I11" s="1"/>
      <c r="J11" s="54" cm="1">
        <f t="array" ref="J11">IF(SUMPRODUCT(--(ISNUMBER(SEARCH("ABI", LOWER('Tableau de bord'!$E$2:$I$1000))))) &gt; 0,
   "Année non validée",
   IFERROR(SUMPRODUCT((Notes!$A$2:$A$991=A11)*(Notes!$B$2:$B$991=B11)*(Notes!$C$2:$C$991=C11), Notes!$D$2:$D$991, Notes!$E$2:$E$991) /
            SUMPRODUCT((Notes!$A$2:$A$991=A11)*(Notes!$B$2:$B$991=B11)*(Notes!$C$2:$C$991=C11), Notes!$E$2:$E$991), ""))</f>
        <v>13</v>
      </c>
    </row>
    <row r="12" spans="1:10" x14ac:dyDescent="0.25">
      <c r="A12" s="4" t="s">
        <v>1</v>
      </c>
      <c r="B12" s="17" t="s">
        <v>40</v>
      </c>
      <c r="C12" s="21" t="s">
        <v>5</v>
      </c>
      <c r="D12" s="19">
        <v>5</v>
      </c>
      <c r="E12" s="53">
        <v>12</v>
      </c>
      <c r="F12" s="53"/>
      <c r="G12" s="1"/>
      <c r="H12" s="1"/>
      <c r="I12" s="1"/>
      <c r="J12" s="54">
        <v>12</v>
      </c>
    </row>
    <row r="13" spans="1:10" ht="19.5" customHeight="1" x14ac:dyDescent="0.25">
      <c r="A13" s="4" t="s">
        <v>1</v>
      </c>
      <c r="B13" s="17" t="s">
        <v>40</v>
      </c>
      <c r="C13" s="22" t="s">
        <v>41</v>
      </c>
      <c r="D13" s="19">
        <v>40</v>
      </c>
      <c r="E13" s="53">
        <v>10</v>
      </c>
      <c r="F13" s="1"/>
      <c r="G13" s="1"/>
      <c r="H13" s="1"/>
      <c r="I13" s="1"/>
      <c r="J13" s="54" cm="1">
        <f t="array" ref="J13">IF(SUMPRODUCT(--(ISNUMBER(SEARCH("ABI", LOWER('Tableau de bord'!$E$2:$I$1000))))) &gt; 0,
   "Année non validée",
   IFERROR(SUMPRODUCT((Notes!$A$2:$A$991=A13)*(Notes!$B$2:$B$991=B13)*(Notes!$C$2:$C$991=C13), Notes!$D$2:$D$991, Notes!$E$2:$E$991) /
            SUMPRODUCT((Notes!$A$2:$A$991=A13)*(Notes!$B$2:$B$991=B13)*(Notes!$C$2:$C$991=C13), Notes!$E$2:$E$991), ""))</f>
        <v>10</v>
      </c>
    </row>
    <row r="14" spans="1:10" x14ac:dyDescent="0.25">
      <c r="A14" s="4" t="s">
        <v>1</v>
      </c>
      <c r="B14" s="23" t="s">
        <v>39</v>
      </c>
      <c r="C14" s="1"/>
      <c r="J14" s="54">
        <v>12.15</v>
      </c>
    </row>
    <row r="15" spans="1:10" ht="22.5" customHeight="1" x14ac:dyDescent="0.25">
      <c r="A15" s="4" t="s">
        <v>1</v>
      </c>
      <c r="B15" s="24" t="s">
        <v>10</v>
      </c>
      <c r="C15" s="25" t="s">
        <v>11</v>
      </c>
      <c r="D15" s="26">
        <v>15</v>
      </c>
      <c r="E15" s="53">
        <v>12</v>
      </c>
      <c r="F15" s="1"/>
      <c r="G15" s="1"/>
      <c r="H15" s="1"/>
      <c r="I15" s="1"/>
      <c r="J15" s="54" cm="1">
        <f t="array" ref="J15">IF(SUMPRODUCT(--(ISNUMBER(SEARCH("ABI", LOWER('Tableau de bord'!$E$2:$I$1000))))) &gt; 0,
   "Année non validée",
   IFERROR(SUMPRODUCT((Notes!$A$2:$A$991=A15)*(Notes!$B$2:$B$991=B15)*(Notes!$C$2:$C$991=C15), Notes!$D$2:$D$991, Notes!$E$2:$E$991) /
            SUMPRODUCT((Notes!$A$2:$A$991=A15)*(Notes!$B$2:$B$991=B15)*(Notes!$C$2:$C$991=C15), Notes!$E$2:$E$991), ""))</f>
        <v>12</v>
      </c>
    </row>
    <row r="16" spans="1:10" ht="18.75" customHeight="1" x14ac:dyDescent="0.25">
      <c r="A16" s="4" t="s">
        <v>1</v>
      </c>
      <c r="B16" s="24" t="s">
        <v>10</v>
      </c>
      <c r="C16" s="27" t="s">
        <v>12</v>
      </c>
      <c r="D16" s="26">
        <v>15</v>
      </c>
      <c r="E16" s="53">
        <v>13</v>
      </c>
      <c r="F16" s="1"/>
      <c r="G16" s="1"/>
      <c r="H16" s="1"/>
      <c r="I16" s="1"/>
      <c r="J16" s="54" cm="1">
        <f t="array" ref="J16">IF(SUMPRODUCT(--(ISNUMBER(SEARCH("ABI", LOWER('Tableau de bord'!$E$2:$I$1000))))) &gt; 0,
   "Année non validée",
   IFERROR(SUMPRODUCT((Notes!$A$2:$A$991=A16)*(Notes!$B$2:$B$991=B16)*(Notes!$C$2:$C$991=C16), Notes!$D$2:$D$991, Notes!$E$2:$E$991) /
            SUMPRODUCT((Notes!$A$2:$A$991=A16)*(Notes!$B$2:$B$991=B16)*(Notes!$C$2:$C$991=C16), Notes!$E$2:$E$991), ""))</f>
        <v>13</v>
      </c>
    </row>
    <row r="17" spans="1:10" ht="19.5" customHeight="1" x14ac:dyDescent="0.25">
      <c r="A17" s="4" t="s">
        <v>1</v>
      </c>
      <c r="B17" s="24" t="s">
        <v>10</v>
      </c>
      <c r="C17" s="28" t="s">
        <v>52</v>
      </c>
      <c r="D17" s="26">
        <v>25</v>
      </c>
      <c r="E17" s="53">
        <v>7</v>
      </c>
      <c r="F17" s="53"/>
      <c r="G17" s="1"/>
      <c r="H17" s="1"/>
      <c r="I17" s="1"/>
      <c r="J17" s="54" cm="1">
        <f t="array" ref="J17">IF(SUMPRODUCT(--(ISNUMBER(SEARCH("ABI", LOWER('Tableau de bord'!$E$2:$I$1000))))) &gt; 0,
   "Année non validée",
   IFERROR(SUMPRODUCT((Notes!$A$2:$A$991=A17)*(Notes!$B$2:$B$991=B17)*(Notes!$C$2:$C$991=C17), Notes!$D$2:$D$991, Notes!$E$2:$E$991) /
            SUMPRODUCT((Notes!$A$2:$A$991=A17)*(Notes!$B$2:$B$991=B17)*(Notes!$C$2:$C$991=C17), Notes!$E$2:$E$991), ""))</f>
        <v>7</v>
      </c>
    </row>
    <row r="18" spans="1:10" ht="21.75" customHeight="1" x14ac:dyDescent="0.25">
      <c r="A18" s="4" t="s">
        <v>1</v>
      </c>
      <c r="B18" s="24" t="s">
        <v>10</v>
      </c>
      <c r="C18" s="21" t="s">
        <v>5</v>
      </c>
      <c r="D18" s="26">
        <v>5</v>
      </c>
      <c r="E18" s="53">
        <v>12</v>
      </c>
      <c r="F18" s="53">
        <v>14</v>
      </c>
      <c r="G18" s="1"/>
      <c r="H18" s="1"/>
      <c r="I18" s="1"/>
      <c r="J18" s="54" cm="1">
        <f t="array" ref="J18">IF(SUMPRODUCT(--(ISNUMBER(SEARCH("ABI", LOWER('Tableau de bord'!$E$2:$I$1000))))) &gt; 0,
   "Année non validée",
   IFERROR(SUMPRODUCT((Notes!$A$2:$A$991=A18)*(Notes!$B$2:$B$991=B18)*(Notes!$C$2:$C$991=C18), Notes!$D$2:$D$991, Notes!$E$2:$E$991) /
            SUMPRODUCT((Notes!$A$2:$A$991=A18)*(Notes!$B$2:$B$991=B18)*(Notes!$C$2:$C$991=C18), Notes!$E$2:$E$991), ""))</f>
        <v>14</v>
      </c>
    </row>
    <row r="19" spans="1:10" ht="18.75" customHeight="1" x14ac:dyDescent="0.25">
      <c r="A19" s="4" t="s">
        <v>1</v>
      </c>
      <c r="B19" s="24" t="s">
        <v>10</v>
      </c>
      <c r="C19" s="29" t="s">
        <v>42</v>
      </c>
      <c r="D19" s="30">
        <v>15</v>
      </c>
      <c r="E19" s="53">
        <v>7</v>
      </c>
      <c r="F19" s="1"/>
      <c r="G19" s="1"/>
      <c r="H19" s="1"/>
      <c r="I19" s="1"/>
      <c r="J19" s="54" cm="1">
        <f t="array" ref="J19">IF(SUMPRODUCT(--(ISNUMBER(SEARCH("ABI", LOWER('Tableau de bord'!$E$2:$I$1000))))) &gt; 0,
   "Année non validée",
   IFERROR(SUMPRODUCT((Notes!$A$2:$A$991=A19)*(Notes!$B$2:$B$991=B19)*(Notes!$C$2:$C$991=C19), Notes!$D$2:$D$991, Notes!$E$2:$E$991) /
            SUMPRODUCT((Notes!$A$2:$A$991=A19)*(Notes!$B$2:$B$991=B19)*(Notes!$C$2:$C$991=C19), Notes!$E$2:$E$991), ""))</f>
        <v>7</v>
      </c>
    </row>
    <row r="20" spans="1:10" ht="18" customHeight="1" x14ac:dyDescent="0.25">
      <c r="A20" s="4" t="s">
        <v>1</v>
      </c>
      <c r="B20" s="24" t="s">
        <v>10</v>
      </c>
      <c r="C20" s="31" t="s">
        <v>43</v>
      </c>
      <c r="D20" s="32">
        <v>10</v>
      </c>
      <c r="E20" s="53">
        <v>12</v>
      </c>
      <c r="F20" s="1"/>
      <c r="G20" s="1"/>
      <c r="H20" s="1"/>
      <c r="I20" s="1"/>
      <c r="J20" s="54" cm="1">
        <f t="array" ref="J20">IF(SUMPRODUCT(--(ISNUMBER(SEARCH("ABI", LOWER('Tableau de bord'!$E$2:$I$1000))))) &gt; 0,
   "Année non validée",
   IFERROR(SUMPRODUCT((Notes!$A$2:$A$991=A20)*(Notes!$B$2:$B$991=B20)*(Notes!$C$2:$C$991=C20), Notes!$D$2:$D$991, Notes!$E$2:$E$991) /
            SUMPRODUCT((Notes!$A$2:$A$991=A20)*(Notes!$B$2:$B$991=B20)*(Notes!$C$2:$C$991=C20), Notes!$E$2:$E$991), ""))</f>
        <v>12</v>
      </c>
    </row>
    <row r="21" spans="1:10" ht="17.25" customHeight="1" x14ac:dyDescent="0.25">
      <c r="A21" s="4" t="s">
        <v>1</v>
      </c>
      <c r="B21" s="24" t="s">
        <v>10</v>
      </c>
      <c r="C21" s="31" t="s">
        <v>44</v>
      </c>
      <c r="D21" s="32">
        <v>15</v>
      </c>
      <c r="E21" s="53">
        <v>5</v>
      </c>
      <c r="F21" s="1"/>
      <c r="G21" s="1"/>
      <c r="H21" s="1"/>
      <c r="I21" s="1"/>
      <c r="J21" s="54" cm="1">
        <f t="array" ref="J21">IF(SUMPRODUCT(--(ISNUMBER(SEARCH("ABI", LOWER('Tableau de bord'!$E$2:$I$1000))))) &gt; 0,
   "Année non validée",
   IFERROR(SUMPRODUCT((Notes!$A$2:$A$991=A21)*(Notes!$B$2:$B$991=B21)*(Notes!$C$2:$C$991=C21), Notes!$D$2:$D$991, Notes!$E$2:$E$991) /
            SUMPRODUCT((Notes!$A$2:$A$991=A21)*(Notes!$B$2:$B$991=B21)*(Notes!$C$2:$C$991=C21), Notes!$E$2:$E$991), ""))</f>
        <v>5</v>
      </c>
    </row>
    <row r="22" spans="1:10" x14ac:dyDescent="0.25">
      <c r="A22" s="4" t="s">
        <v>1</v>
      </c>
      <c r="B22" s="23" t="s">
        <v>39</v>
      </c>
      <c r="C22" s="33"/>
      <c r="D22" s="34"/>
      <c r="J22" s="54">
        <v>9.1999999999999993</v>
      </c>
    </row>
    <row r="23" spans="1:10" x14ac:dyDescent="0.25">
      <c r="A23" s="35"/>
      <c r="B23" s="36"/>
      <c r="J23" s="54"/>
    </row>
    <row r="24" spans="1:10" x14ac:dyDescent="0.25">
      <c r="A24" s="35"/>
      <c r="B24" s="36"/>
      <c r="D24" s="52"/>
      <c r="J24" s="54"/>
    </row>
    <row r="25" spans="1:10" x14ac:dyDescent="0.25">
      <c r="A25" s="35"/>
      <c r="B25" s="36"/>
      <c r="D25" s="34"/>
      <c r="J25" s="54"/>
    </row>
    <row r="26" spans="1:10" x14ac:dyDescent="0.25">
      <c r="A26" s="4" t="s">
        <v>13</v>
      </c>
      <c r="B26" s="37" t="s">
        <v>38</v>
      </c>
      <c r="C26" s="38" t="s">
        <v>14</v>
      </c>
      <c r="D26" s="10">
        <v>10</v>
      </c>
      <c r="E26" s="53">
        <v>12</v>
      </c>
      <c r="F26" s="1"/>
      <c r="G26" s="1"/>
      <c r="H26" s="1"/>
      <c r="I26" s="1"/>
      <c r="J26" s="54" cm="1">
        <f t="array" ref="J26">IF(SUMPRODUCT(--(ISNUMBER(SEARCH("ABI", LOWER('Tableau de bord'!$E$2:$I$1000))))) &gt; 0,
   "Année non validée",
   IFERROR(SUMPRODUCT((Notes!$A$2:$A$991=A26)*(Notes!$B$2:$B$991=B26)*(Notes!$C$2:$C$991=C26), Notes!$D$2:$D$991, Notes!$E$2:$E$991) /
            SUMPRODUCT((Notes!$A$2:$A$991=A26)*(Notes!$B$2:$B$991=B26)*(Notes!$C$2:$C$991=C26), Notes!$E$2:$E$991), ""))</f>
        <v>12</v>
      </c>
    </row>
    <row r="27" spans="1:10" x14ac:dyDescent="0.25">
      <c r="A27" s="4" t="s">
        <v>13</v>
      </c>
      <c r="B27" s="37" t="s">
        <v>38</v>
      </c>
      <c r="C27" s="39" t="s">
        <v>15</v>
      </c>
      <c r="D27" s="10">
        <v>15</v>
      </c>
      <c r="E27" s="53" t="s">
        <v>72</v>
      </c>
      <c r="F27" s="1"/>
      <c r="G27" s="1"/>
      <c r="H27" s="1"/>
      <c r="I27" s="1"/>
      <c r="J27" s="54" cm="1">
        <f t="array" ref="J27">IF(SUMPRODUCT(--(ISNUMBER(SEARCH("ABI", LOWER('Tableau de bord'!$E$2:$I$1000))))) &gt; 0,
   "Année non validée",
   IFERROR(SUMPRODUCT((Notes!$A$2:$A$991=A27)*(Notes!$B$2:$B$991=B27)*(Notes!$C$2:$C$991=C27), Notes!$D$2:$D$991, Notes!$E$2:$E$991) /
            SUMPRODUCT((Notes!$A$2:$A$991=A27)*(Notes!$B$2:$B$991=B27)*(Notes!$C$2:$C$991=C27), Notes!$E$2:$E$991), ""))</f>
        <v>0</v>
      </c>
    </row>
    <row r="28" spans="1:10" x14ac:dyDescent="0.25">
      <c r="A28" s="4" t="s">
        <v>13</v>
      </c>
      <c r="B28" s="37" t="s">
        <v>38</v>
      </c>
      <c r="C28" s="40" t="s">
        <v>16</v>
      </c>
      <c r="D28" s="10">
        <v>15</v>
      </c>
      <c r="E28" s="53">
        <v>15</v>
      </c>
      <c r="F28" s="1"/>
      <c r="G28" s="1"/>
      <c r="H28" s="1"/>
      <c r="I28" s="1"/>
      <c r="J28" s="54" cm="1">
        <f t="array" ref="J28">IF(SUMPRODUCT(--(ISNUMBER(SEARCH("ABI", LOWER('Tableau de bord'!$E$2:$I$1000))))) &gt; 0,
   "Année non validée",
   IFERROR(SUMPRODUCT((Notes!$A$2:$A$991=A28)*(Notes!$B$2:$B$991=B28)*(Notes!$C$2:$C$991=C28), Notes!$D$2:$D$991, Notes!$E$2:$E$991) /
            SUMPRODUCT((Notes!$A$2:$A$991=A28)*(Notes!$B$2:$B$991=B28)*(Notes!$C$2:$C$991=C28), Notes!$E$2:$E$991), ""))</f>
        <v>15</v>
      </c>
    </row>
    <row r="29" spans="1:10" x14ac:dyDescent="0.25">
      <c r="A29" s="4" t="s">
        <v>13</v>
      </c>
      <c r="B29" s="37" t="s">
        <v>38</v>
      </c>
      <c r="C29" s="41" t="s">
        <v>17</v>
      </c>
      <c r="D29" s="10">
        <v>15</v>
      </c>
      <c r="E29" s="53">
        <v>10</v>
      </c>
      <c r="F29" s="1"/>
      <c r="G29" s="1"/>
      <c r="H29" s="1"/>
      <c r="I29" s="1"/>
      <c r="J29" s="54" cm="1">
        <f t="array" ref="J29">IF(SUMPRODUCT(--(ISNUMBER(SEARCH("ABI", LOWER('Tableau de bord'!$E$2:$I$1000))))) &gt; 0,
   "Année non validée",
   IFERROR(SUMPRODUCT((Notes!$A$2:$A$991=A29)*(Notes!$B$2:$B$991=B29)*(Notes!$C$2:$C$991=C29), Notes!$D$2:$D$991, Notes!$E$2:$E$991) /
            SUMPRODUCT((Notes!$A$2:$A$991=A29)*(Notes!$B$2:$B$991=B29)*(Notes!$C$2:$C$991=C29), Notes!$E$2:$E$991), ""))</f>
        <v>10</v>
      </c>
    </row>
    <row r="30" spans="1:10" x14ac:dyDescent="0.25">
      <c r="A30" s="4" t="s">
        <v>13</v>
      </c>
      <c r="B30" s="37" t="s">
        <v>38</v>
      </c>
      <c r="C30" s="11" t="s">
        <v>18</v>
      </c>
      <c r="D30" s="10">
        <v>5</v>
      </c>
      <c r="E30" s="53">
        <v>18</v>
      </c>
      <c r="F30" s="53"/>
      <c r="G30" s="1"/>
      <c r="H30" s="1"/>
      <c r="I30" s="1"/>
      <c r="J30" s="54" cm="1">
        <f t="array" ref="J30">IF(SUMPRODUCT(--(ISNUMBER(SEARCH("ABI", LOWER('Tableau de bord'!$E$2:$I$1000))))) &gt; 0,
   "Année non validée",
   IFERROR(SUMPRODUCT((Notes!$A$2:$A$991=A30)*(Notes!$B$2:$B$991=B30)*(Notes!$C$2:$C$991=C30), Notes!$D$2:$D$991, Notes!$E$2:$E$991) /
            SUMPRODUCT((Notes!$A$2:$A$991=A30)*(Notes!$B$2:$B$991=B30)*(Notes!$C$2:$C$991=C30), Notes!$E$2:$E$991), ""))</f>
        <v>18</v>
      </c>
    </row>
    <row r="31" spans="1:10" x14ac:dyDescent="0.25">
      <c r="A31" s="4" t="s">
        <v>13</v>
      </c>
      <c r="B31" s="37" t="s">
        <v>38</v>
      </c>
      <c r="C31" s="42" t="s">
        <v>19</v>
      </c>
      <c r="D31" s="10">
        <v>10</v>
      </c>
      <c r="E31" s="53">
        <v>9</v>
      </c>
      <c r="F31" s="1"/>
      <c r="G31" s="1"/>
      <c r="H31" s="1"/>
      <c r="I31" s="1"/>
      <c r="J31" s="54" cm="1">
        <f t="array" ref="J31">IF(SUMPRODUCT(--(ISNUMBER(SEARCH("ABI", LOWER('Tableau de bord'!$E$2:$I$1000))))) &gt; 0,
   "Année non validée",
   IFERROR(SUMPRODUCT((Notes!$A$2:$A$991=A31)*(Notes!$B$2:$B$991=B31)*(Notes!$C$2:$C$991=C31), Notes!$D$2:$D$991, Notes!$E$2:$E$991) /
            SUMPRODUCT((Notes!$A$2:$A$991=A31)*(Notes!$B$2:$B$991=B31)*(Notes!$C$2:$C$991=C31), Notes!$E$2:$E$991), ""))</f>
        <v>9</v>
      </c>
    </row>
    <row r="32" spans="1:10" x14ac:dyDescent="0.25">
      <c r="A32" s="4" t="s">
        <v>13</v>
      </c>
      <c r="B32" s="37" t="s">
        <v>38</v>
      </c>
      <c r="C32" s="43" t="s">
        <v>20</v>
      </c>
      <c r="D32" s="8">
        <v>5</v>
      </c>
      <c r="E32" s="53">
        <v>6</v>
      </c>
      <c r="F32" s="1"/>
      <c r="G32" s="1"/>
      <c r="H32" s="1"/>
      <c r="I32" s="1"/>
      <c r="J32" s="54" cm="1">
        <f t="array" ref="J32">IF(SUMPRODUCT(--(ISNUMBER(SEARCH("ABI", LOWER('Tableau de bord'!$E$2:$I$1000))))) &gt; 0,
   "Année non validée",
   IFERROR(SUMPRODUCT((Notes!$A$2:$A$991=A32)*(Notes!$B$2:$B$991=B32)*(Notes!$C$2:$C$991=C32), Notes!$D$2:$D$991, Notes!$E$2:$E$991) /
            SUMPRODUCT((Notes!$A$2:$A$991=A32)*(Notes!$B$2:$B$991=B32)*(Notes!$C$2:$C$991=C32), Notes!$E$2:$E$991), ""))</f>
        <v>6</v>
      </c>
    </row>
    <row r="33" spans="1:10" x14ac:dyDescent="0.25">
      <c r="A33" s="4" t="s">
        <v>13</v>
      </c>
      <c r="B33" s="37" t="s">
        <v>38</v>
      </c>
      <c r="C33" s="43" t="s">
        <v>21</v>
      </c>
      <c r="D33" s="8">
        <v>20</v>
      </c>
      <c r="E33" s="53">
        <v>10</v>
      </c>
      <c r="F33" s="1"/>
      <c r="G33" s="1"/>
      <c r="H33" s="1"/>
      <c r="I33" s="1"/>
      <c r="J33" s="54" cm="1">
        <f t="array" ref="J33">IF(SUMPRODUCT(--(ISNUMBER(SEARCH("ABI", LOWER('Tableau de bord'!$E$2:$I$1000))))) &gt; 0,
   "Année non validée",
   IFERROR(SUMPRODUCT((Notes!$A$2:$A$991=A33)*(Notes!$B$2:$B$991=B33)*(Notes!$C$2:$C$991=C33), Notes!$D$2:$D$991, Notes!$E$2:$E$991) /
            SUMPRODUCT((Notes!$A$2:$A$991=A33)*(Notes!$B$2:$B$991=B33)*(Notes!$C$2:$C$991=C33), Notes!$E$2:$E$991), ""))</f>
        <v>10</v>
      </c>
    </row>
    <row r="34" spans="1:10" x14ac:dyDescent="0.25">
      <c r="A34" s="4" t="s">
        <v>13</v>
      </c>
      <c r="B34" s="37" t="s">
        <v>38</v>
      </c>
      <c r="C34" s="11" t="s">
        <v>22</v>
      </c>
      <c r="D34" s="8">
        <v>5</v>
      </c>
      <c r="E34" s="53">
        <v>9</v>
      </c>
      <c r="F34" s="1"/>
      <c r="G34" s="1"/>
      <c r="H34" s="1"/>
      <c r="I34" s="1"/>
      <c r="J34" s="54" cm="1">
        <f t="array" ref="J34">IF(SUMPRODUCT(--(ISNUMBER(SEARCH("ABI", LOWER('Tableau de bord'!$E$2:$I$1000))))) &gt; 0,
   "Année non validée",
   IFERROR(SUMPRODUCT((Notes!$A$2:$A$991=A34)*(Notes!$B$2:$B$991=B34)*(Notes!$C$2:$C$991=C34), Notes!$D$2:$D$991, Notes!$E$2:$E$991) /
            SUMPRODUCT((Notes!$A$2:$A$991=A34)*(Notes!$B$2:$B$991=B34)*(Notes!$C$2:$C$991=C34), Notes!$E$2:$E$991), ""))</f>
        <v>9</v>
      </c>
    </row>
    <row r="35" spans="1:10" x14ac:dyDescent="0.25">
      <c r="A35" s="4" t="s">
        <v>13</v>
      </c>
      <c r="B35" s="14" t="s">
        <v>39</v>
      </c>
      <c r="C35" s="44"/>
      <c r="D35" s="45"/>
      <c r="J35" s="54">
        <v>9.5</v>
      </c>
    </row>
    <row r="36" spans="1:10" x14ac:dyDescent="0.25">
      <c r="A36" s="4" t="s">
        <v>13</v>
      </c>
      <c r="B36" s="17" t="s">
        <v>40</v>
      </c>
      <c r="C36" s="18" t="s">
        <v>23</v>
      </c>
      <c r="D36" s="19">
        <v>10</v>
      </c>
      <c r="E36" s="53">
        <v>12</v>
      </c>
      <c r="F36" s="1"/>
      <c r="G36" s="1"/>
      <c r="H36" s="1"/>
      <c r="I36" s="1"/>
      <c r="J36" s="54" cm="1">
        <f t="array" ref="J36">IF(SUMPRODUCT(--(ISNUMBER(SEARCH("ABI", LOWER('Tableau de bord'!$E$2:$I$1000))))) &gt; 0,
   "Année non validée",
   IFERROR(SUMPRODUCT((Notes!$A$2:$A$991=A36)*(Notes!$B$2:$B$991=B36)*(Notes!$C$2:$C$991=C36), Notes!$D$2:$D$991, Notes!$E$2:$E$991) /
            SUMPRODUCT((Notes!$A$2:$A$991=A36)*(Notes!$B$2:$B$991=B36)*(Notes!$C$2:$C$991=C36), Notes!$E$2:$E$991), ""))</f>
        <v>12</v>
      </c>
    </row>
    <row r="37" spans="1:10" x14ac:dyDescent="0.25">
      <c r="A37" s="4" t="s">
        <v>13</v>
      </c>
      <c r="B37" s="17" t="s">
        <v>40</v>
      </c>
      <c r="C37" s="20" t="s">
        <v>24</v>
      </c>
      <c r="D37" s="19">
        <v>15</v>
      </c>
      <c r="E37" s="53">
        <v>7</v>
      </c>
      <c r="F37" s="1"/>
      <c r="G37" s="1"/>
      <c r="H37" s="1"/>
      <c r="I37" s="1"/>
      <c r="J37" s="54" cm="1">
        <f t="array" ref="J37">IF(SUMPRODUCT(--(ISNUMBER(SEARCH("ABI", LOWER('Tableau de bord'!$E$2:$I$1000))))) &gt; 0,
   "Année non validée",
   IFERROR(SUMPRODUCT((Notes!$A$2:$A$991=A37)*(Notes!$B$2:$B$991=B37)*(Notes!$C$2:$C$991=C37), Notes!$D$2:$D$991, Notes!$E$2:$E$991) /
            SUMPRODUCT((Notes!$A$2:$A$991=A37)*(Notes!$B$2:$B$991=B37)*(Notes!$C$2:$C$991=C37), Notes!$E$2:$E$991), ""))</f>
        <v>7</v>
      </c>
    </row>
    <row r="38" spans="1:10" x14ac:dyDescent="0.25">
      <c r="A38" s="4" t="s">
        <v>13</v>
      </c>
      <c r="B38" s="17" t="s">
        <v>40</v>
      </c>
      <c r="C38" s="20" t="s">
        <v>25</v>
      </c>
      <c r="D38" s="19">
        <v>15</v>
      </c>
      <c r="E38" s="53">
        <v>4</v>
      </c>
      <c r="F38" s="1"/>
      <c r="G38" s="1"/>
      <c r="H38" s="1"/>
      <c r="I38" s="1"/>
      <c r="J38" s="54" cm="1">
        <f t="array" ref="J38">IF(SUMPRODUCT(--(ISNUMBER(SEARCH("ABI", LOWER('Tableau de bord'!$E$2:$I$1000))))) &gt; 0,
   "Année non validée",
   IFERROR(SUMPRODUCT((Notes!$A$2:$A$991=A38)*(Notes!$B$2:$B$991=B38)*(Notes!$C$2:$C$991=C38), Notes!$D$2:$D$991, Notes!$E$2:$E$991) /
            SUMPRODUCT((Notes!$A$2:$A$991=A38)*(Notes!$B$2:$B$991=B38)*(Notes!$C$2:$C$991=C38), Notes!$E$2:$E$991), ""))</f>
        <v>4</v>
      </c>
    </row>
    <row r="39" spans="1:10" x14ac:dyDescent="0.25">
      <c r="A39" s="4" t="s">
        <v>13</v>
      </c>
      <c r="B39" s="17" t="s">
        <v>40</v>
      </c>
      <c r="C39" s="20" t="s">
        <v>26</v>
      </c>
      <c r="D39" s="19">
        <v>15</v>
      </c>
      <c r="E39" s="53">
        <v>14</v>
      </c>
      <c r="F39" s="1"/>
      <c r="G39" s="1"/>
      <c r="H39" s="1"/>
      <c r="I39" s="1"/>
      <c r="J39" s="54" cm="1">
        <f t="array" ref="J39">IF(SUMPRODUCT(--(ISNUMBER(SEARCH("ABI", LOWER('Tableau de bord'!$E$2:$I$1000))))) &gt; 0,
   "Année non validée",
   IFERROR(SUMPRODUCT((Notes!$A$2:$A$991=A39)*(Notes!$B$2:$B$991=B39)*(Notes!$C$2:$C$991=C39), Notes!$D$2:$D$991, Notes!$E$2:$E$991) /
            SUMPRODUCT((Notes!$A$2:$A$991=A39)*(Notes!$B$2:$B$991=B39)*(Notes!$C$2:$C$991=C39), Notes!$E$2:$E$991), ""))</f>
        <v>14</v>
      </c>
    </row>
    <row r="40" spans="1:10" x14ac:dyDescent="0.25">
      <c r="A40" s="4" t="s">
        <v>13</v>
      </c>
      <c r="B40" s="17" t="s">
        <v>40</v>
      </c>
      <c r="C40" s="21" t="s">
        <v>18</v>
      </c>
      <c r="D40" s="19">
        <v>5</v>
      </c>
      <c r="E40" s="53">
        <v>18</v>
      </c>
      <c r="F40" s="1"/>
      <c r="G40" s="1"/>
      <c r="H40" s="1"/>
      <c r="I40" s="1"/>
      <c r="J40" s="54" t="str" cm="1">
        <f t="array" ref="J40">IF(SUMPRODUCT(--(ISNUMBER(SEARCH("ABI", LOWER('Tableau de bord'!$E$2:$I$1000))))) &gt; 0,
   "Année non validée",
   IFERROR(SUMPRODUCT((Notes!$A$2:$A$991=A40)*(Notes!$B$2:$B$991=B40)*(Notes!$C$2:$C$991=C40), Notes!$D$2:$D$991, Notes!$E$2:$E$991) /
            SUMPRODUCT((Notes!$A$2:$A$991=A40)*(Notes!$B$2:$B$991=B40)*(Notes!$C$2:$C$991=C40), Notes!$E$2:$E$991), ""))</f>
        <v/>
      </c>
    </row>
    <row r="41" spans="1:10" x14ac:dyDescent="0.25">
      <c r="A41" s="4" t="s">
        <v>13</v>
      </c>
      <c r="B41" s="17" t="s">
        <v>40</v>
      </c>
      <c r="C41" s="46" t="s">
        <v>27</v>
      </c>
      <c r="D41" s="19">
        <v>10</v>
      </c>
      <c r="E41" s="53">
        <v>14</v>
      </c>
      <c r="F41" s="1"/>
      <c r="G41" s="1"/>
      <c r="H41" s="1"/>
      <c r="I41" s="1"/>
      <c r="J41" s="54" cm="1">
        <f t="array" ref="J41">IF(SUMPRODUCT(--(ISNUMBER(SEARCH("ABI", LOWER('Tableau de bord'!$E$2:$I$1000))))) &gt; 0,
   "Année non validée",
   IFERROR(SUMPRODUCT((Notes!$A$2:$A$991=A41)*(Notes!$B$2:$B$991=B41)*(Notes!$C$2:$C$991=C41), Notes!$D$2:$D$991, Notes!$E$2:$E$991) /
            SUMPRODUCT((Notes!$A$2:$A$991=A41)*(Notes!$B$2:$B$991=B41)*(Notes!$C$2:$C$991=C41), Notes!$E$2:$E$991), ""))</f>
        <v>14</v>
      </c>
    </row>
    <row r="42" spans="1:10" x14ac:dyDescent="0.25">
      <c r="A42" s="4" t="s">
        <v>13</v>
      </c>
      <c r="B42" s="17" t="s">
        <v>40</v>
      </c>
      <c r="C42" s="46" t="s">
        <v>28</v>
      </c>
      <c r="D42" s="19">
        <v>10</v>
      </c>
      <c r="E42" s="53">
        <v>11</v>
      </c>
      <c r="F42" s="1"/>
      <c r="G42" s="1"/>
      <c r="H42" s="1"/>
      <c r="I42" s="1"/>
      <c r="J42" s="54" cm="1">
        <f t="array" ref="J42">IF(SUMPRODUCT(--(ISNUMBER(SEARCH("ABI", LOWER('Tableau de bord'!$E$2:$I$1000))))) &gt; 0,
   "Année non validée",
   IFERROR(SUMPRODUCT((Notes!$A$2:$A$991=A42)*(Notes!$B$2:$B$991=B42)*(Notes!$C$2:$C$991=C42), Notes!$D$2:$D$991, Notes!$E$2:$E$991) /
            SUMPRODUCT((Notes!$A$2:$A$991=A42)*(Notes!$B$2:$B$991=B42)*(Notes!$C$2:$C$991=C42), Notes!$E$2:$E$991), ""))</f>
        <v>11</v>
      </c>
    </row>
    <row r="43" spans="1:10" x14ac:dyDescent="0.25">
      <c r="A43" s="4" t="s">
        <v>13</v>
      </c>
      <c r="B43" s="17" t="s">
        <v>40</v>
      </c>
      <c r="C43" s="47" t="s">
        <v>20</v>
      </c>
      <c r="D43" s="48">
        <v>5</v>
      </c>
      <c r="E43" s="53">
        <v>6</v>
      </c>
      <c r="F43" s="1"/>
      <c r="G43" s="1"/>
      <c r="H43" s="1"/>
      <c r="I43" s="1"/>
      <c r="J43" s="54" t="str" cm="1">
        <f t="array" ref="J43">IF(SUMPRODUCT(--(ISNUMBER(SEARCH("ABI", LOWER('Tableau de bord'!$E$2:$I$1000))))) &gt; 0,
   "Année non validée",
   IFERROR(SUMPRODUCT((Notes!$A$2:$A$991=A43)*(Notes!$B$2:$B$991=B43)*(Notes!$C$2:$C$991=C43), Notes!$D$2:$D$991, Notes!$E$2:$E$991) /
            SUMPRODUCT((Notes!$A$2:$A$991=A43)*(Notes!$B$2:$B$991=B43)*(Notes!$C$2:$C$991=C43), Notes!$E$2:$E$991), ""))</f>
        <v/>
      </c>
    </row>
    <row r="44" spans="1:10" x14ac:dyDescent="0.25">
      <c r="A44" s="4" t="s">
        <v>13</v>
      </c>
      <c r="B44" s="17" t="s">
        <v>40</v>
      </c>
      <c r="C44" s="47" t="s">
        <v>21</v>
      </c>
      <c r="D44" s="48">
        <v>10</v>
      </c>
      <c r="E44" s="53">
        <v>10</v>
      </c>
      <c r="F44" s="1"/>
      <c r="G44" s="1"/>
      <c r="H44" s="1"/>
      <c r="I44" s="1"/>
      <c r="J44" s="54" t="str" cm="1">
        <f t="array" ref="J44">IF(SUMPRODUCT(--(ISNUMBER(SEARCH("ABI", LOWER('Tableau de bord'!$E$2:$I$1000))))) &gt; 0,
   "Année non validée",
   IFERROR(SUMPRODUCT((Notes!$A$2:$A$991=A44)*(Notes!$B$2:$B$991=B44)*(Notes!$C$2:$C$991=C44), Notes!$D$2:$D$991, Notes!$E$2:$E$991) /
            SUMPRODUCT((Notes!$A$2:$A$991=A44)*(Notes!$B$2:$B$991=B44)*(Notes!$C$2:$C$991=C44), Notes!$E$2:$E$991), ""))</f>
        <v/>
      </c>
    </row>
    <row r="45" spans="1:10" x14ac:dyDescent="0.25">
      <c r="A45" s="4" t="s">
        <v>13</v>
      </c>
      <c r="B45" s="17" t="s">
        <v>40</v>
      </c>
      <c r="C45" s="21" t="s">
        <v>22</v>
      </c>
      <c r="D45" s="48">
        <v>5</v>
      </c>
      <c r="E45" s="53">
        <v>9</v>
      </c>
      <c r="F45" s="1"/>
      <c r="G45" s="1"/>
      <c r="H45" s="1"/>
      <c r="I45" s="1"/>
      <c r="J45" s="54" t="str" cm="1">
        <f t="array" ref="J45">IF(SUMPRODUCT(--(ISNUMBER(SEARCH("ABI", LOWER('Tableau de bord'!$E$2:$I$1000))))) &gt; 0,
   "Année non validée",
   IFERROR(SUMPRODUCT((Notes!$A$2:$A$991=A45)*(Notes!$B$2:$B$991=B45)*(Notes!$C$2:$C$991=C45), Notes!$D$2:$D$991, Notes!$E$2:$E$991) /
            SUMPRODUCT((Notes!$A$2:$A$991=A45)*(Notes!$B$2:$B$991=B45)*(Notes!$C$2:$C$991=C45), Notes!$E$2:$E$991), ""))</f>
        <v/>
      </c>
    </row>
    <row r="46" spans="1:10" x14ac:dyDescent="0.25">
      <c r="A46" s="4" t="s">
        <v>13</v>
      </c>
      <c r="B46" s="14" t="s">
        <v>39</v>
      </c>
      <c r="C46" s="44"/>
      <c r="D46" s="45"/>
      <c r="J46" s="54">
        <v>9.9333333333333336</v>
      </c>
    </row>
    <row r="47" spans="1:10" ht="16.5" customHeight="1" x14ac:dyDescent="0.25">
      <c r="A47" s="4" t="s">
        <v>13</v>
      </c>
      <c r="B47" s="24" t="s">
        <v>10</v>
      </c>
      <c r="C47" s="25" t="s">
        <v>29</v>
      </c>
      <c r="D47" s="26">
        <v>15</v>
      </c>
      <c r="E47" s="53">
        <v>12</v>
      </c>
      <c r="F47" s="1"/>
      <c r="G47" s="1"/>
      <c r="H47" s="1"/>
      <c r="I47" s="1"/>
      <c r="J47" s="54" cm="1">
        <f t="array" ref="J47">IF(SUMPRODUCT(--(ISNUMBER(SEARCH("ABI", LOWER('Tableau de bord'!$E$2:$I$1000))))) &gt; 0,
   "Année non validée",
   IFERROR(SUMPRODUCT((Notes!$A$2:$A$991=A47)*(Notes!$B$2:$B$991=B47)*(Notes!$C$2:$C$991=C47), Notes!$D$2:$D$991, Notes!$E$2:$E$991) /
            SUMPRODUCT((Notes!$A$2:$A$991=A47)*(Notes!$B$2:$B$991=B47)*(Notes!$C$2:$C$991=C47), Notes!$E$2:$E$991), ""))</f>
        <v>12</v>
      </c>
    </row>
    <row r="48" spans="1:10" ht="15" customHeight="1" x14ac:dyDescent="0.25">
      <c r="A48" s="4" t="s">
        <v>13</v>
      </c>
      <c r="B48" s="24" t="s">
        <v>10</v>
      </c>
      <c r="C48" s="27" t="s">
        <v>30</v>
      </c>
      <c r="D48" s="26">
        <v>15</v>
      </c>
      <c r="E48" s="53">
        <v>11</v>
      </c>
      <c r="F48" s="1"/>
      <c r="G48" s="1"/>
      <c r="H48" s="1"/>
      <c r="I48" s="1"/>
      <c r="J48" s="54" cm="1">
        <f t="array" ref="J48">IF(SUMPRODUCT(--(ISNUMBER(SEARCH("ABI", LOWER('Tableau de bord'!$E$2:$I$1000))))) &gt; 0,
   "Année non validée",
   IFERROR(SUMPRODUCT((Notes!$A$2:$A$991=A48)*(Notes!$B$2:$B$991=B48)*(Notes!$C$2:$C$991=C48), Notes!$D$2:$D$991, Notes!$E$2:$E$991) /
            SUMPRODUCT((Notes!$A$2:$A$991=A48)*(Notes!$B$2:$B$991=B48)*(Notes!$C$2:$C$991=C48), Notes!$E$2:$E$991), ""))</f>
        <v>11</v>
      </c>
    </row>
    <row r="49" spans="1:10" ht="16.5" customHeight="1" x14ac:dyDescent="0.25">
      <c r="A49" s="4" t="s">
        <v>13</v>
      </c>
      <c r="B49" s="24" t="s">
        <v>10</v>
      </c>
      <c r="C49" s="28" t="s">
        <v>45</v>
      </c>
      <c r="D49" s="26">
        <v>25</v>
      </c>
      <c r="E49" s="53">
        <v>9</v>
      </c>
      <c r="F49" s="1"/>
      <c r="G49" s="1"/>
      <c r="H49" s="1"/>
      <c r="I49" s="1"/>
      <c r="J49" s="54" cm="1">
        <f t="array" ref="J49">IF(SUMPRODUCT(--(ISNUMBER(SEARCH("ABI", LOWER('Tableau de bord'!$E$2:$I$1000))))) &gt; 0,
   "Année non validée",
   IFERROR(SUMPRODUCT((Notes!$A$2:$A$991=A49)*(Notes!$B$2:$B$991=B49)*(Notes!$C$2:$C$991=C49), Notes!$D$2:$D$991, Notes!$E$2:$E$991) /
            SUMPRODUCT((Notes!$A$2:$A$991=A49)*(Notes!$B$2:$B$991=B49)*(Notes!$C$2:$C$991=C49), Notes!$E$2:$E$991), ""))</f>
        <v>9</v>
      </c>
    </row>
    <row r="50" spans="1:10" ht="15.75" customHeight="1" x14ac:dyDescent="0.25">
      <c r="A50" s="4" t="s">
        <v>13</v>
      </c>
      <c r="B50" s="24" t="s">
        <v>10</v>
      </c>
      <c r="C50" s="21" t="s">
        <v>18</v>
      </c>
      <c r="D50" s="26">
        <v>5</v>
      </c>
      <c r="E50" s="53">
        <v>18</v>
      </c>
      <c r="F50" s="1"/>
      <c r="G50" s="1"/>
      <c r="H50" s="1"/>
      <c r="I50" s="1"/>
      <c r="J50" s="54">
        <v>18</v>
      </c>
    </row>
    <row r="51" spans="1:10" ht="14.25" customHeight="1" x14ac:dyDescent="0.25">
      <c r="A51" s="4" t="s">
        <v>13</v>
      </c>
      <c r="B51" s="24" t="s">
        <v>10</v>
      </c>
      <c r="C51" s="49" t="s">
        <v>20</v>
      </c>
      <c r="D51" s="26">
        <v>5</v>
      </c>
      <c r="E51" s="53">
        <v>6</v>
      </c>
      <c r="F51" s="53"/>
      <c r="G51" s="1"/>
      <c r="H51" s="1"/>
      <c r="I51" s="1"/>
      <c r="J51" s="54">
        <v>6</v>
      </c>
    </row>
    <row r="52" spans="1:10" ht="14.25" customHeight="1" x14ac:dyDescent="0.25">
      <c r="A52" s="4" t="s">
        <v>13</v>
      </c>
      <c r="B52" s="24" t="s">
        <v>10</v>
      </c>
      <c r="C52" s="50" t="s">
        <v>31</v>
      </c>
      <c r="D52" s="26">
        <v>10</v>
      </c>
      <c r="E52" s="53">
        <v>4</v>
      </c>
      <c r="F52" s="1"/>
      <c r="G52" s="1"/>
      <c r="H52" s="1"/>
      <c r="I52" s="1"/>
      <c r="J52" s="54" cm="1">
        <f t="array" ref="J52">IF(SUMPRODUCT(--(ISNUMBER(SEARCH("ABI", LOWER('Tableau de bord'!$E$2:$I$1000))))) &gt; 0,
   "Année non validée",
   IFERROR(SUMPRODUCT((Notes!$A$2:$A$991=A52)*(Notes!$B$2:$B$991=B52)*(Notes!$C$2:$C$991=C52), Notes!$D$2:$D$991, Notes!$E$2:$E$991) /
            SUMPRODUCT((Notes!$A$2:$A$991=A52)*(Notes!$B$2:$B$991=B52)*(Notes!$C$2:$C$991=C52), Notes!$E$2:$E$991), ""))</f>
        <v>4</v>
      </c>
    </row>
    <row r="53" spans="1:10" ht="13.5" customHeight="1" x14ac:dyDescent="0.25">
      <c r="A53" s="4" t="s">
        <v>13</v>
      </c>
      <c r="B53" s="24" t="s">
        <v>10</v>
      </c>
      <c r="C53" s="47" t="s">
        <v>21</v>
      </c>
      <c r="D53" s="51">
        <v>20</v>
      </c>
      <c r="E53" s="53">
        <v>10</v>
      </c>
      <c r="F53" s="1"/>
      <c r="G53" s="1"/>
      <c r="H53" s="1"/>
      <c r="I53" s="1"/>
      <c r="J53" s="54">
        <v>4</v>
      </c>
    </row>
    <row r="54" spans="1:10" ht="17.25" customHeight="1" x14ac:dyDescent="0.25">
      <c r="A54" s="4" t="s">
        <v>13</v>
      </c>
      <c r="B54" s="24" t="s">
        <v>10</v>
      </c>
      <c r="C54" s="21" t="s">
        <v>22</v>
      </c>
      <c r="D54" s="51">
        <v>5</v>
      </c>
      <c r="E54" s="53">
        <v>9</v>
      </c>
      <c r="F54" s="53"/>
      <c r="G54" s="1"/>
      <c r="H54" s="1"/>
      <c r="I54" s="1"/>
      <c r="J54" s="54">
        <v>10</v>
      </c>
    </row>
    <row r="55" spans="1:10" x14ac:dyDescent="0.25">
      <c r="A55" s="4" t="s">
        <v>13</v>
      </c>
      <c r="B55" s="23" t="s">
        <v>39</v>
      </c>
      <c r="C55" s="1"/>
      <c r="J55" s="59">
        <v>8.6</v>
      </c>
    </row>
  </sheetData>
  <mergeCells count="1">
    <mergeCell ref="E1:I1"/>
  </mergeCells>
  <hyperlinks>
    <hyperlink ref="E2" location="Notes!A0" display="15" xr:uid="{23C5F031-2614-4893-898D-5711EEBCC1A6}"/>
    <hyperlink ref="E3" location="Notes!A0" display="12" xr:uid="{4C9AD7EB-1E41-4A4D-8DF1-7D03F7C8D35F}"/>
    <hyperlink ref="E4" location="Notes!A0" display="8" xr:uid="{BE39FCAE-D044-4817-A9CA-422F853F2E59}"/>
    <hyperlink ref="E5" location="Notes!A0" display="12" xr:uid="{195B7643-2780-457A-9566-D268BB8DFB87}"/>
    <hyperlink ref="E12" location="Notes!A0" display="12" xr:uid="{8511E7E7-899C-4B29-8152-776D402B0933}"/>
    <hyperlink ref="E18" location="Notes!A0" display="12" xr:uid="{EFAEA49F-4525-4F88-B45C-0DAFC49A135F}"/>
    <hyperlink ref="E6" location="Notes!A0" display="18" xr:uid="{4D5CAC14-0F30-44E2-A121-45102177738F}"/>
    <hyperlink ref="E7" location="Notes!A0" display="11" xr:uid="{B7CFEB66-5AD0-4520-8473-442C6C92FF2A}"/>
    <hyperlink ref="E9" location="Notes!A0" display="12" xr:uid="{36862D2F-5E4A-4CFF-8D82-4DB0D29EC11F}"/>
    <hyperlink ref="E10" location="Notes!A0" display="17" xr:uid="{E625D488-9B03-4B47-8AB3-51311FA116A9}"/>
    <hyperlink ref="E11" location="Notes!A0" display="13" xr:uid="{E605D66E-06A8-419A-9DD5-DA90C285DAE8}"/>
    <hyperlink ref="E13" location="Notes!A0" display="3" xr:uid="{F8AD858B-B635-4A6B-8D27-93AED14BB946}"/>
    <hyperlink ref="E15" location="Notes!A0" display="12" xr:uid="{4F5BE3BD-C50A-4DB1-B152-411234D2E2AA}"/>
    <hyperlink ref="E16" location="Notes!A0" display="13" xr:uid="{2C6F18D7-E34B-485A-AA88-559813DFFF70}"/>
    <hyperlink ref="E17" location="Notes!A0" display="7" xr:uid="{9A325D9B-D9D6-4527-ADD1-DA227BDAA4F7}"/>
    <hyperlink ref="F18" location="Notes!A0" display="14" xr:uid="{61513A10-344C-418A-88C6-0F34FAA517E4}"/>
    <hyperlink ref="E19" location="Notes!A0" display="7" xr:uid="{0645B224-77C6-48E7-ACBB-A416905F0BF6}"/>
    <hyperlink ref="E20" location="Notes!A0" display="12" xr:uid="{F2717325-195E-489C-8403-A0248FF799EC}"/>
    <hyperlink ref="E21" location="Notes!A0" display="5" xr:uid="{F8544170-F7C4-4F9A-808F-2F6C25598EB2}"/>
    <hyperlink ref="E26" location="Notes!A0" display="12" xr:uid="{9F448D7C-99C2-4D19-A841-ACBF2F101915}"/>
    <hyperlink ref="E27" location="Notes!A0" display="13,5" xr:uid="{3BA89BDC-D64E-4FCD-B30F-9A4286B20FEF}"/>
    <hyperlink ref="E28" location="Notes!A0" display="15" xr:uid="{6621E8C1-AA96-48E6-A504-8082B9B7E890}"/>
    <hyperlink ref="E29" location="Notes!A0" display="10" xr:uid="{82ACA7DF-3C92-4748-87D5-54CA4ABD9AC5}"/>
    <hyperlink ref="E30" location="Notes!A0" display="18" xr:uid="{BDFAACDA-F275-45D8-888E-9B81B812577D}"/>
    <hyperlink ref="E40" location="Notes!A0" display="18" xr:uid="{E50B57C7-6143-46C7-A0B6-0D1CA9167DC0}"/>
    <hyperlink ref="E50" location="Notes!A0" display="18" xr:uid="{FF3DBAF3-338C-4CEE-BE3A-AFB4683CC9EC}"/>
    <hyperlink ref="E31" location="Notes!A0" display="9" xr:uid="{B1D0D693-ACA1-46A6-B9CE-9E1BEE53773F}"/>
    <hyperlink ref="E32" location="Notes!A0" display="6" xr:uid="{332C747C-85BC-4341-ABC4-3A00C9F85160}"/>
    <hyperlink ref="E43" location="Notes!A0" display="6" xr:uid="{C6D31FEB-74CF-49CC-AE61-B1D6E4135A0E}"/>
    <hyperlink ref="E51" location="Notes!A0" display="6" xr:uid="{87F8F50A-AFA4-4F29-B5B2-AB0ADD6FE03E}"/>
    <hyperlink ref="E33" location="Notes!A0" display="10" xr:uid="{1AAEA933-D919-4435-B19E-A8CD45AC60C8}"/>
    <hyperlink ref="E44" location="Notes!A0" display="10" xr:uid="{CA884420-B38F-4AC7-A147-F1BD38932608}"/>
    <hyperlink ref="E53" location="Notes!A0" display="10" xr:uid="{BF79B356-E19A-42AF-8F10-D8D6F77575CB}"/>
    <hyperlink ref="E34" location="Notes!A0" display="9" xr:uid="{D3C224D9-49A6-4EFF-9BDD-C1648991FA94}"/>
    <hyperlink ref="E45" location="Notes!A0" display="9" xr:uid="{D42586C8-0F10-42CA-8883-9D64DE367DB3}"/>
    <hyperlink ref="E54" location="Notes!A0" display="9" xr:uid="{2162731F-F5BF-4743-9E47-C099CEA16DD4}"/>
    <hyperlink ref="E36" location="Notes!A0" display="12" xr:uid="{0127E7AE-C4C8-4D5D-AA62-6B4C0C74166F}"/>
    <hyperlink ref="E37" location="Notes!A0" display="7" xr:uid="{C947259D-93CC-4BA8-AB23-CAD93DC903F3}"/>
    <hyperlink ref="E38" location="Notes!A0" display="4" xr:uid="{1CCFCF8B-7362-4554-B14C-D8FE199D1854}"/>
    <hyperlink ref="E39" location="Notes!A0" display="14" xr:uid="{4F8A73D5-D18B-41EC-AF3E-6911B1813215}"/>
    <hyperlink ref="E41" location="Notes!A0" display="14" xr:uid="{43950A6F-691B-4228-B783-CDDD08D2265D}"/>
    <hyperlink ref="E42" location="Notes!A0" display="11" xr:uid="{75761ED6-175A-48CA-8993-E21C0E678616}"/>
    <hyperlink ref="E47" location="Notes!A0" display="12" xr:uid="{E34CC1DF-9B22-4358-8CE7-60EFD9901494}"/>
    <hyperlink ref="E48" location="Notes!A0" display="11" xr:uid="{91539D73-8307-4920-8DF5-3D96204D40D9}"/>
    <hyperlink ref="E49" location="Notes!A0" display="9" xr:uid="{C4DEAFB6-85CB-415A-8D27-03433E7DCA27}"/>
    <hyperlink ref="E52" location="Notes!A0" display="4" xr:uid="{258D82EE-8F54-4CE0-96E9-DE691B7B1166}"/>
  </hyperlink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1EE2D-6658-46B5-A001-C6E51D9C4221}">
  <sheetPr codeName="Feuil6"/>
  <dimension ref="A1:E40"/>
  <sheetViews>
    <sheetView workbookViewId="0">
      <pane ySplit="1" topLeftCell="A2" activePane="bottomLeft" state="frozen"/>
      <selection pane="bottomLeft" activeCell="G28" sqref="G28"/>
    </sheetView>
  </sheetViews>
  <sheetFormatPr baseColWidth="10" defaultRowHeight="15" x14ac:dyDescent="0.25"/>
  <cols>
    <col min="2" max="2" width="88.28515625" bestFit="1" customWidth="1"/>
  </cols>
  <sheetData>
    <row r="1" spans="1:5" x14ac:dyDescent="0.25">
      <c r="A1" s="55" t="s">
        <v>50</v>
      </c>
      <c r="B1" s="55" t="s">
        <v>35</v>
      </c>
      <c r="C1" s="55" t="s">
        <v>49</v>
      </c>
    </row>
    <row r="2" spans="1:5" x14ac:dyDescent="0.25">
      <c r="A2" t="s">
        <v>1</v>
      </c>
      <c r="B2" t="s">
        <v>2</v>
      </c>
      <c r="C2" cm="1">
        <f t="array" ref="C2">IFERROR(SUMPRODUCT((Notes!$C$2:$C$991=B2)*Notes!$D$2:$D$991*Notes!$E$2:$E$991) / SUMIF(Notes!$C$2:$C$991, B2, Notes!$E$2:$E$991), "")</f>
        <v>15</v>
      </c>
    </row>
    <row r="3" spans="1:5" x14ac:dyDescent="0.25">
      <c r="A3" t="s">
        <v>1</v>
      </c>
      <c r="B3" t="s">
        <v>3</v>
      </c>
      <c r="C3" cm="1">
        <f t="array" ref="C3">IFERROR(SUMPRODUCT((Notes!$C$2:$C$991=B3)*Notes!$D$2:$D$991*Notes!$E$2:$E$991) / SUMIF(Notes!$C$2:$C$991, B3, Notes!$E$2:$E$991), "")</f>
        <v>12</v>
      </c>
    </row>
    <row r="4" spans="1:5" x14ac:dyDescent="0.25">
      <c r="A4" t="s">
        <v>1</v>
      </c>
      <c r="B4" t="s">
        <v>4</v>
      </c>
      <c r="C4" cm="1">
        <f t="array" ref="C4">IFERROR(SUMPRODUCT((Notes!$C$2:$C$991=B4)*Notes!$D$2:$D$991*Notes!$E$2:$E$991) / SUMIF(Notes!$C$2:$C$991, B4, Notes!$E$2:$E$991), "")</f>
        <v>8</v>
      </c>
    </row>
    <row r="5" spans="1:5" x14ac:dyDescent="0.25">
      <c r="A5" t="s">
        <v>1</v>
      </c>
      <c r="B5" t="s">
        <v>5</v>
      </c>
      <c r="C5" cm="1">
        <f t="array" ref="C5">IFERROR(SUMPRODUCT((Notes!$C$2:$C$991=B5)*Notes!$D$2:$D$991*Notes!$E$2:$E$991) / SUMIF(Notes!$C$2:$C$991, B5, Notes!$E$2:$E$991), "")</f>
        <v>13</v>
      </c>
    </row>
    <row r="6" spans="1:5" x14ac:dyDescent="0.25">
      <c r="A6" t="s">
        <v>1</v>
      </c>
      <c r="B6" t="s">
        <v>53</v>
      </c>
      <c r="C6">
        <v>18</v>
      </c>
    </row>
    <row r="7" spans="1:5" x14ac:dyDescent="0.25">
      <c r="A7" t="s">
        <v>1</v>
      </c>
      <c r="B7" t="s">
        <v>6</v>
      </c>
      <c r="C7" cm="1">
        <f t="array" ref="C7">IFERROR(SUMPRODUCT((Notes!$C$2:$C$991=B7)*Notes!$D$2:$D$991*Notes!$E$2:$E$991) / SUMIF(Notes!$C$2:$C$991, B7, Notes!$E$2:$E$991), "")</f>
        <v>11</v>
      </c>
      <c r="E7" t="s">
        <v>51</v>
      </c>
    </row>
    <row r="8" spans="1:5" x14ac:dyDescent="0.25">
      <c r="A8" t="s">
        <v>1</v>
      </c>
      <c r="B8" t="s">
        <v>7</v>
      </c>
      <c r="C8" cm="1">
        <f t="array" ref="C8">IFERROR(SUMPRODUCT((Notes!$C$2:$C$991=B8)*Notes!$D$2:$D$991*Notes!$E$2:$E$991) / SUMIF(Notes!$C$2:$C$991, B8, Notes!$E$2:$E$991), "")</f>
        <v>12</v>
      </c>
    </row>
    <row r="9" spans="1:5" x14ac:dyDescent="0.25">
      <c r="A9" t="s">
        <v>1</v>
      </c>
      <c r="B9" t="s">
        <v>8</v>
      </c>
      <c r="C9" cm="1">
        <f t="array" ref="C9">IFERROR(SUMPRODUCT((Notes!$C$2:$C$991=B9)*Notes!$D$2:$D$991*Notes!$E$2:$E$991) / SUMIF(Notes!$C$2:$C$991, B9, Notes!$E$2:$E$991), "")</f>
        <v>17</v>
      </c>
    </row>
    <row r="10" spans="1:5" x14ac:dyDescent="0.25">
      <c r="A10" t="s">
        <v>1</v>
      </c>
      <c r="B10" t="s">
        <v>9</v>
      </c>
      <c r="C10" cm="1">
        <f t="array" ref="C10">IFERROR(SUMPRODUCT((Notes!$C$2:$C$991=B10)*Notes!$D$2:$D$991*Notes!$E$2:$E$991) / SUMIF(Notes!$C$2:$C$991, B10, Notes!$E$2:$E$991), "")</f>
        <v>13</v>
      </c>
    </row>
    <row r="11" spans="1:5" x14ac:dyDescent="0.25">
      <c r="A11" t="s">
        <v>1</v>
      </c>
      <c r="B11" t="s">
        <v>41</v>
      </c>
      <c r="C11" cm="1">
        <f t="array" ref="C11">IFERROR(SUMPRODUCT((Notes!$C$2:$C$991=B11)*Notes!$D$2:$D$991*Notes!$E$2:$E$991) / SUMIF(Notes!$C$2:$C$991, B11, Notes!$E$2:$E$991), "")</f>
        <v>10</v>
      </c>
    </row>
    <row r="12" spans="1:5" x14ac:dyDescent="0.25">
      <c r="A12" t="s">
        <v>1</v>
      </c>
      <c r="B12" t="s">
        <v>11</v>
      </c>
      <c r="C12" cm="1">
        <f t="array" ref="C12">IFERROR(SUMPRODUCT((Notes!$C$2:$C$991=B12)*Notes!$D$2:$D$991*Notes!$E$2:$E$991) / SUMIF(Notes!$C$2:$C$991, B12, Notes!$E$2:$E$991), "")</f>
        <v>12</v>
      </c>
    </row>
    <row r="13" spans="1:5" x14ac:dyDescent="0.25">
      <c r="A13" t="s">
        <v>1</v>
      </c>
      <c r="B13" t="s">
        <v>12</v>
      </c>
      <c r="C13" cm="1">
        <f t="array" ref="C13">IFERROR(SUMPRODUCT((Notes!$C$2:$C$991=B13)*Notes!$D$2:$D$991*Notes!$E$2:$E$991) / SUMIF(Notes!$C$2:$C$991, B13, Notes!$E$2:$E$991), "")</f>
        <v>13</v>
      </c>
    </row>
    <row r="14" spans="1:5" x14ac:dyDescent="0.25">
      <c r="A14" t="s">
        <v>1</v>
      </c>
      <c r="B14" t="s">
        <v>52</v>
      </c>
      <c r="C14" cm="1">
        <f t="array" ref="C14">IFERROR(SUMPRODUCT((Notes!$C$2:$C$991=B14)*Notes!$D$2:$D$991*Notes!$E$2:$E$991) / SUMIF(Notes!$C$2:$C$991, B14, Notes!$E$2:$E$991), "")</f>
        <v>7</v>
      </c>
    </row>
    <row r="15" spans="1:5" x14ac:dyDescent="0.25">
      <c r="A15" t="s">
        <v>1</v>
      </c>
      <c r="B15" t="s">
        <v>42</v>
      </c>
      <c r="C15" cm="1">
        <f t="array" ref="C15">IFERROR(SUMPRODUCT((Notes!$C$2:$C$991=B15)*Notes!$D$2:$D$991*Notes!$E$2:$E$991) / SUMIF(Notes!$C$2:$C$991, B15, Notes!$E$2:$E$991), "")</f>
        <v>7</v>
      </c>
    </row>
    <row r="16" spans="1:5" x14ac:dyDescent="0.25">
      <c r="A16" t="s">
        <v>1</v>
      </c>
      <c r="B16" t="s">
        <v>43</v>
      </c>
      <c r="C16" cm="1">
        <f t="array" ref="C16">IFERROR(SUMPRODUCT((Notes!$C$2:$C$991=B16)*Notes!$D$2:$D$991*Notes!$E$2:$E$991) / SUMIF(Notes!$C$2:$C$991, B16, Notes!$E$2:$E$991), "")</f>
        <v>12</v>
      </c>
    </row>
    <row r="17" spans="1:3" x14ac:dyDescent="0.25">
      <c r="A17" t="s">
        <v>1</v>
      </c>
      <c r="B17" t="s">
        <v>44</v>
      </c>
      <c r="C17" cm="1">
        <f t="array" ref="C17">IFERROR(SUMPRODUCT((Notes!$C$2:$C$991=B17)*Notes!$D$2:$D$991*Notes!$E$2:$E$991) / SUMIF(Notes!$C$2:$C$991, B17, Notes!$E$2:$E$991), "")</f>
        <v>5</v>
      </c>
    </row>
    <row r="18" spans="1:3" x14ac:dyDescent="0.25">
      <c r="A18" t="s">
        <v>13</v>
      </c>
      <c r="B18" t="s">
        <v>14</v>
      </c>
      <c r="C18" cm="1">
        <f t="array" ref="C18">IFERROR(SUMPRODUCT((Notes!$C$2:$C$991=B18)*Notes!$D$2:$D$991*Notes!$E$2:$E$991) / SUMIF(Notes!$C$2:$C$991, B18, Notes!$E$2:$E$991), "")</f>
        <v>12</v>
      </c>
    </row>
    <row r="19" spans="1:3" x14ac:dyDescent="0.25">
      <c r="A19" t="s">
        <v>13</v>
      </c>
      <c r="B19" t="s">
        <v>15</v>
      </c>
      <c r="C19" cm="1">
        <f t="array" ref="C19">IFERROR(SUMPRODUCT((Notes!$C$2:$C$991=B19)*Notes!$D$2:$D$991*Notes!$E$2:$E$991) / SUMIF(Notes!$C$2:$C$991, B19, Notes!$E$2:$E$991), "")</f>
        <v>13.5</v>
      </c>
    </row>
    <row r="20" spans="1:3" x14ac:dyDescent="0.25">
      <c r="A20" t="s">
        <v>13</v>
      </c>
      <c r="B20" t="s">
        <v>16</v>
      </c>
      <c r="C20" cm="1">
        <f t="array" ref="C20">IFERROR(SUMPRODUCT((Notes!$C$2:$C$991=B20)*Notes!$D$2:$D$991*Notes!$E$2:$E$991) / SUMIF(Notes!$C$2:$C$991, B20, Notes!$E$2:$E$991), "")</f>
        <v>15</v>
      </c>
    </row>
    <row r="21" spans="1:3" x14ac:dyDescent="0.25">
      <c r="A21" t="s">
        <v>13</v>
      </c>
      <c r="B21" t="s">
        <v>17</v>
      </c>
      <c r="C21" cm="1">
        <f t="array" ref="C21">IFERROR(SUMPRODUCT((Notes!$C$2:$C$991=B21)*Notes!$D$2:$D$991*Notes!$E$2:$E$991) / SUMIF(Notes!$C$2:$C$991, B21, Notes!$E$2:$E$991), "")</f>
        <v>10</v>
      </c>
    </row>
    <row r="22" spans="1:3" x14ac:dyDescent="0.25">
      <c r="A22" t="s">
        <v>13</v>
      </c>
      <c r="B22" t="s">
        <v>18</v>
      </c>
      <c r="C22" cm="1">
        <f t="array" ref="C22">IFERROR(SUMPRODUCT((Notes!$C$2:$C$991=B22)*Notes!$D$2:$D$991*Notes!$E$2:$E$991) / SUMIF(Notes!$C$2:$C$991, B22, Notes!$E$2:$E$991), "")</f>
        <v>18</v>
      </c>
    </row>
    <row r="23" spans="1:3" x14ac:dyDescent="0.25">
      <c r="A23" t="s">
        <v>13</v>
      </c>
      <c r="B23" t="s">
        <v>19</v>
      </c>
      <c r="C23" cm="1">
        <f t="array" ref="C23">IFERROR(SUMPRODUCT((Notes!$C$2:$C$991=B23)*Notes!$D$2:$D$991*Notes!$E$2:$E$991) / SUMIF(Notes!$C$2:$C$991, B23, Notes!$E$2:$E$991), "")</f>
        <v>9</v>
      </c>
    </row>
    <row r="24" spans="1:3" x14ac:dyDescent="0.25">
      <c r="A24" t="s">
        <v>13</v>
      </c>
      <c r="B24" t="s">
        <v>20</v>
      </c>
      <c r="C24" cm="1">
        <f t="array" ref="C24">IFERROR(SUMPRODUCT((Notes!$C$2:$C$991=B24)*Notes!$D$2:$D$991*Notes!$E$2:$E$991) / SUMIF(Notes!$C$2:$C$991, B24, Notes!$E$2:$E$991), "")</f>
        <v>6</v>
      </c>
    </row>
    <row r="25" spans="1:3" x14ac:dyDescent="0.25">
      <c r="A25" t="s">
        <v>13</v>
      </c>
      <c r="B25" t="s">
        <v>21</v>
      </c>
      <c r="C25" cm="1">
        <f t="array" ref="C25">IFERROR(SUMPRODUCT((Notes!$C$2:$C$991=B25)*Notes!$D$2:$D$991*Notes!$E$2:$E$991) / SUMIF(Notes!$C$2:$C$991, B25, Notes!$E$2:$E$991), "")</f>
        <v>10</v>
      </c>
    </row>
    <row r="26" spans="1:3" x14ac:dyDescent="0.25">
      <c r="A26" t="s">
        <v>13</v>
      </c>
      <c r="B26" t="s">
        <v>22</v>
      </c>
      <c r="C26" cm="1">
        <f t="array" ref="C26">IFERROR(SUMPRODUCT((Notes!$C$2:$C$991=B26)*Notes!$D$2:$D$991*Notes!$E$2:$E$991) / SUMIF(Notes!$C$2:$C$991, B26, Notes!$E$2:$E$991), "")</f>
        <v>9</v>
      </c>
    </row>
    <row r="27" spans="1:3" x14ac:dyDescent="0.25">
      <c r="A27" t="s">
        <v>13</v>
      </c>
      <c r="B27" t="s">
        <v>23</v>
      </c>
      <c r="C27" cm="1">
        <f t="array" ref="C27">IFERROR(SUMPRODUCT((Notes!$C$2:$C$991=B27)*Notes!$D$2:$D$991*Notes!$E$2:$E$991) / SUMIF(Notes!$C$2:$C$991, B27, Notes!$E$2:$E$991), "")</f>
        <v>12</v>
      </c>
    </row>
    <row r="28" spans="1:3" x14ac:dyDescent="0.25">
      <c r="A28" t="s">
        <v>13</v>
      </c>
      <c r="B28" t="s">
        <v>24</v>
      </c>
      <c r="C28" cm="1">
        <f t="array" ref="C28">IFERROR(SUMPRODUCT((Notes!$C$2:$C$991=B28)*Notes!$D$2:$D$991*Notes!$E$2:$E$991) / SUMIF(Notes!$C$2:$C$991, B28, Notes!$E$2:$E$991), "")</f>
        <v>7</v>
      </c>
    </row>
    <row r="29" spans="1:3" x14ac:dyDescent="0.25">
      <c r="A29" t="s">
        <v>13</v>
      </c>
      <c r="B29" t="s">
        <v>25</v>
      </c>
      <c r="C29" cm="1">
        <f t="array" ref="C29">IFERROR(SUMPRODUCT((Notes!$C$2:$C$991=B29)*Notes!$D$2:$D$991*Notes!$E$2:$E$991) / SUMIF(Notes!$C$2:$C$991, B29, Notes!$E$2:$E$991), "")</f>
        <v>4</v>
      </c>
    </row>
    <row r="30" spans="1:3" x14ac:dyDescent="0.25">
      <c r="A30" t="s">
        <v>13</v>
      </c>
      <c r="B30" t="s">
        <v>26</v>
      </c>
      <c r="C30" cm="1">
        <f t="array" ref="C30">IFERROR(SUMPRODUCT((Notes!$C$2:$C$991=B30)*Notes!$D$2:$D$991*Notes!$E$2:$E$991) / SUMIF(Notes!$C$2:$C$991, B30, Notes!$E$2:$E$991), "")</f>
        <v>14</v>
      </c>
    </row>
    <row r="31" spans="1:3" x14ac:dyDescent="0.25">
      <c r="A31" t="s">
        <v>13</v>
      </c>
      <c r="B31" t="s">
        <v>27</v>
      </c>
      <c r="C31" cm="1">
        <f t="array" ref="C31">IFERROR(SUMPRODUCT((Notes!$C$2:$C$991=B31)*Notes!$D$2:$D$991*Notes!$E$2:$E$991) / SUMIF(Notes!$C$2:$C$991, B31, Notes!$E$2:$E$991), "")</f>
        <v>14</v>
      </c>
    </row>
    <row r="32" spans="1:3" x14ac:dyDescent="0.25">
      <c r="A32" t="s">
        <v>13</v>
      </c>
      <c r="B32" t="s">
        <v>28</v>
      </c>
      <c r="C32" cm="1">
        <f t="array" ref="C32">IFERROR(SUMPRODUCT((Notes!$C$2:$C$991=B32)*Notes!$D$2:$D$991*Notes!$E$2:$E$991) / SUMIF(Notes!$C$2:$C$991, B32, Notes!$E$2:$E$991), "")</f>
        <v>11</v>
      </c>
    </row>
    <row r="33" spans="1:3" x14ac:dyDescent="0.25">
      <c r="A33" t="s">
        <v>13</v>
      </c>
      <c r="B33" t="s">
        <v>29</v>
      </c>
      <c r="C33" cm="1">
        <f t="array" ref="C33">IFERROR(SUMPRODUCT((Notes!$C$2:$C$991=B33)*Notes!$D$2:$D$991*Notes!$E$2:$E$991) / SUMIF(Notes!$C$2:$C$991, B33, Notes!$E$2:$E$991), "")</f>
        <v>12</v>
      </c>
    </row>
    <row r="34" spans="1:3" x14ac:dyDescent="0.25">
      <c r="A34" t="s">
        <v>13</v>
      </c>
      <c r="B34" t="s">
        <v>30</v>
      </c>
      <c r="C34" cm="1">
        <f t="array" ref="C34">IFERROR(SUMPRODUCT((Notes!$C$2:$C$991=B34)*Notes!$D$2:$D$991*Notes!$E$2:$E$991) / SUMIF(Notes!$C$2:$C$991, B34, Notes!$E$2:$E$991), "")</f>
        <v>11</v>
      </c>
    </row>
    <row r="35" spans="1:3" x14ac:dyDescent="0.25">
      <c r="A35" t="s">
        <v>13</v>
      </c>
      <c r="B35" t="s">
        <v>45</v>
      </c>
      <c r="C35" cm="1">
        <f t="array" ref="C35">IFERROR(SUMPRODUCT((Notes!$C$2:$C$991=B35)*Notes!$D$2:$D$991*Notes!$E$2:$E$991) / SUMIF(Notes!$C$2:$C$991, B35, Notes!$E$2:$E$991), "")</f>
        <v>9</v>
      </c>
    </row>
    <row r="36" spans="1:3" x14ac:dyDescent="0.25">
      <c r="A36" t="s">
        <v>13</v>
      </c>
      <c r="B36" t="s">
        <v>31</v>
      </c>
      <c r="C36" cm="1">
        <f t="array" ref="C36">IFERROR(SUMPRODUCT((Notes!$C$2:$C$991=B36)*Notes!$D$2:$D$991*Notes!$E$2:$E$991) / SUMIF(Notes!$C$2:$C$991, B36, Notes!$E$2:$E$991), "")</f>
        <v>4</v>
      </c>
    </row>
    <row r="37" spans="1:3" x14ac:dyDescent="0.25">
      <c r="B37" t="s">
        <v>19</v>
      </c>
      <c r="C37" cm="1">
        <f t="array" ref="C37">IFERROR(SUMPRODUCT((Notes!$C$2:$C$991=B37)*Notes!$D$2:$D$991*Notes!$E$2:$E$991) / SUMIF(Notes!$C$2:$C$991, B37, Notes!$E$2:$E$991), "")</f>
        <v>9</v>
      </c>
    </row>
    <row r="38" spans="1:3" x14ac:dyDescent="0.25">
      <c r="B38" t="s">
        <v>20</v>
      </c>
      <c r="C38" cm="1">
        <f t="array" ref="C38">IFERROR(SUMPRODUCT((Notes!$C$2:$C$991=B38)*Notes!$D$2:$D$991*Notes!$E$2:$E$991) / SUMIF(Notes!$C$2:$C$991, B38, Notes!$E$2:$E$991), "")</f>
        <v>6</v>
      </c>
    </row>
    <row r="39" spans="1:3" x14ac:dyDescent="0.25">
      <c r="B39" t="s">
        <v>21</v>
      </c>
      <c r="C39" cm="1">
        <f t="array" ref="C39">IFERROR(SUMPRODUCT((Notes!$C$2:$C$991=B39)*Notes!$D$2:$D$991*Notes!$E$2:$E$991) / SUMIF(Notes!$C$2:$C$991, B39, Notes!$E$2:$E$991), "")</f>
        <v>10</v>
      </c>
    </row>
    <row r="40" spans="1:3" x14ac:dyDescent="0.25">
      <c r="B40" t="s">
        <v>22</v>
      </c>
      <c r="C40" cm="1">
        <f t="array" ref="C40">IFERROR(SUMPRODUCT((Notes!$C$2:$C$991=B40)*Notes!$D$2:$D$991*Notes!$E$2:$E$991) / SUMIF(Notes!$C$2:$C$991, B40, Notes!$E$2:$E$991), "")</f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BBB1F-7392-4C0F-9CA9-66B37F4A4C8B}">
  <sheetPr codeName="Feuil2"/>
  <dimension ref="A1:F37"/>
  <sheetViews>
    <sheetView topLeftCell="B1" workbookViewId="0">
      <selection activeCell="C2" sqref="C2"/>
    </sheetView>
  </sheetViews>
  <sheetFormatPr baseColWidth="10" defaultColWidth="11.42578125" defaultRowHeight="15" x14ac:dyDescent="0.25"/>
  <cols>
    <col min="2" max="2" width="66.42578125" bestFit="1" customWidth="1"/>
    <col min="3" max="3" width="71.140625" bestFit="1" customWidth="1"/>
  </cols>
  <sheetData>
    <row r="1" spans="1:6" x14ac:dyDescent="0.25">
      <c r="A1" s="1" t="s">
        <v>0</v>
      </c>
      <c r="B1" s="1" t="s">
        <v>46</v>
      </c>
      <c r="C1" s="1" t="s">
        <v>32</v>
      </c>
      <c r="D1" s="1" t="s">
        <v>33</v>
      </c>
      <c r="E1" s="1" t="s">
        <v>48</v>
      </c>
      <c r="F1" s="1" t="s">
        <v>47</v>
      </c>
    </row>
    <row r="2" spans="1:6" x14ac:dyDescent="0.25">
      <c r="A2" t="s">
        <v>1</v>
      </c>
      <c r="B2" t="s">
        <v>38</v>
      </c>
      <c r="C2" t="s">
        <v>2</v>
      </c>
      <c r="D2">
        <v>15</v>
      </c>
      <c r="E2">
        <v>1</v>
      </c>
      <c r="F2" t="s">
        <v>55</v>
      </c>
    </row>
    <row r="3" spans="1:6" x14ac:dyDescent="0.25">
      <c r="A3" t="s">
        <v>1</v>
      </c>
      <c r="B3" t="s">
        <v>38</v>
      </c>
      <c r="C3" t="s">
        <v>3</v>
      </c>
      <c r="D3">
        <v>12</v>
      </c>
      <c r="E3">
        <v>1</v>
      </c>
      <c r="F3" t="s">
        <v>56</v>
      </c>
    </row>
    <row r="4" spans="1:6" x14ac:dyDescent="0.25">
      <c r="A4" t="s">
        <v>1</v>
      </c>
      <c r="B4" t="s">
        <v>38</v>
      </c>
      <c r="C4" t="s">
        <v>4</v>
      </c>
      <c r="D4">
        <v>8</v>
      </c>
      <c r="E4">
        <v>1</v>
      </c>
      <c r="F4" t="s">
        <v>57</v>
      </c>
    </row>
    <row r="5" spans="1:6" x14ac:dyDescent="0.25">
      <c r="A5" t="s">
        <v>1</v>
      </c>
      <c r="B5" t="s">
        <v>38</v>
      </c>
      <c r="C5" t="s">
        <v>5</v>
      </c>
      <c r="D5">
        <v>12</v>
      </c>
      <c r="E5">
        <v>1</v>
      </c>
      <c r="F5" t="s">
        <v>58</v>
      </c>
    </row>
    <row r="6" spans="1:6" x14ac:dyDescent="0.25">
      <c r="A6" t="s">
        <v>1</v>
      </c>
      <c r="B6" t="s">
        <v>38</v>
      </c>
      <c r="C6" t="s">
        <v>53</v>
      </c>
      <c r="D6">
        <v>18</v>
      </c>
      <c r="E6">
        <v>1</v>
      </c>
      <c r="F6" t="s">
        <v>59</v>
      </c>
    </row>
    <row r="7" spans="1:6" x14ac:dyDescent="0.25">
      <c r="A7" t="s">
        <v>1</v>
      </c>
      <c r="B7" t="s">
        <v>38</v>
      </c>
      <c r="C7" t="s">
        <v>6</v>
      </c>
      <c r="D7">
        <v>11</v>
      </c>
      <c r="E7">
        <v>1</v>
      </c>
      <c r="F7" t="s">
        <v>60</v>
      </c>
    </row>
    <row r="8" spans="1:6" x14ac:dyDescent="0.25">
      <c r="A8" t="s">
        <v>1</v>
      </c>
      <c r="B8" t="s">
        <v>40</v>
      </c>
      <c r="C8" t="s">
        <v>7</v>
      </c>
      <c r="D8">
        <v>12</v>
      </c>
      <c r="E8">
        <v>1</v>
      </c>
      <c r="F8" t="s">
        <v>61</v>
      </c>
    </row>
    <row r="9" spans="1:6" x14ac:dyDescent="0.25">
      <c r="A9" t="s">
        <v>1</v>
      </c>
      <c r="B9" t="s">
        <v>40</v>
      </c>
      <c r="C9" t="s">
        <v>8</v>
      </c>
      <c r="D9">
        <v>17</v>
      </c>
      <c r="E9">
        <v>1</v>
      </c>
      <c r="F9" t="s">
        <v>62</v>
      </c>
    </row>
    <row r="10" spans="1:6" x14ac:dyDescent="0.25">
      <c r="A10" t="s">
        <v>1</v>
      </c>
      <c r="B10" t="s">
        <v>40</v>
      </c>
      <c r="C10" t="s">
        <v>9</v>
      </c>
      <c r="D10">
        <v>13</v>
      </c>
      <c r="E10">
        <v>1</v>
      </c>
      <c r="F10" t="s">
        <v>63</v>
      </c>
    </row>
    <row r="11" spans="1:6" x14ac:dyDescent="0.25">
      <c r="A11" t="s">
        <v>1</v>
      </c>
      <c r="B11" t="s">
        <v>40</v>
      </c>
      <c r="C11" t="s">
        <v>41</v>
      </c>
      <c r="D11">
        <v>10</v>
      </c>
      <c r="E11">
        <v>1</v>
      </c>
      <c r="F11" t="s">
        <v>64</v>
      </c>
    </row>
    <row r="12" spans="1:6" x14ac:dyDescent="0.25">
      <c r="A12" t="s">
        <v>1</v>
      </c>
      <c r="B12" t="s">
        <v>10</v>
      </c>
      <c r="C12" t="s">
        <v>11</v>
      </c>
      <c r="D12">
        <v>12</v>
      </c>
      <c r="E12">
        <v>1</v>
      </c>
      <c r="F12" t="s">
        <v>65</v>
      </c>
    </row>
    <row r="13" spans="1:6" x14ac:dyDescent="0.25">
      <c r="A13" t="s">
        <v>1</v>
      </c>
      <c r="B13" t="s">
        <v>10</v>
      </c>
      <c r="C13" t="s">
        <v>12</v>
      </c>
      <c r="D13">
        <v>13</v>
      </c>
      <c r="E13">
        <v>1</v>
      </c>
      <c r="F13" t="s">
        <v>66</v>
      </c>
    </row>
    <row r="14" spans="1:6" x14ac:dyDescent="0.25">
      <c r="A14" t="s">
        <v>1</v>
      </c>
      <c r="B14" t="s">
        <v>10</v>
      </c>
      <c r="C14" t="s">
        <v>52</v>
      </c>
      <c r="D14">
        <v>7</v>
      </c>
      <c r="E14">
        <v>1</v>
      </c>
      <c r="F14" t="s">
        <v>67</v>
      </c>
    </row>
    <row r="15" spans="1:6" x14ac:dyDescent="0.25">
      <c r="A15" t="s">
        <v>1</v>
      </c>
      <c r="B15" t="s">
        <v>10</v>
      </c>
      <c r="C15" t="s">
        <v>5</v>
      </c>
      <c r="D15">
        <v>14</v>
      </c>
      <c r="E15">
        <v>1</v>
      </c>
      <c r="F15" t="s">
        <v>67</v>
      </c>
    </row>
    <row r="16" spans="1:6" x14ac:dyDescent="0.25">
      <c r="A16" t="s">
        <v>1</v>
      </c>
      <c r="B16" t="s">
        <v>10</v>
      </c>
      <c r="C16" t="s">
        <v>42</v>
      </c>
      <c r="D16">
        <v>7</v>
      </c>
      <c r="E16">
        <v>1</v>
      </c>
      <c r="F16" t="s">
        <v>68</v>
      </c>
    </row>
    <row r="17" spans="1:6" x14ac:dyDescent="0.25">
      <c r="A17" t="s">
        <v>1</v>
      </c>
      <c r="B17" t="s">
        <v>10</v>
      </c>
      <c r="C17" t="s">
        <v>43</v>
      </c>
      <c r="D17">
        <v>12</v>
      </c>
      <c r="E17">
        <v>1</v>
      </c>
      <c r="F17" t="s">
        <v>69</v>
      </c>
    </row>
    <row r="18" spans="1:6" x14ac:dyDescent="0.25">
      <c r="A18" t="s">
        <v>1</v>
      </c>
      <c r="B18" t="s">
        <v>10</v>
      </c>
      <c r="C18" t="s">
        <v>44</v>
      </c>
      <c r="D18">
        <v>5</v>
      </c>
      <c r="E18">
        <v>1</v>
      </c>
      <c r="F18" t="s">
        <v>70</v>
      </c>
    </row>
    <row r="19" spans="1:6" x14ac:dyDescent="0.25">
      <c r="A19" t="s">
        <v>13</v>
      </c>
      <c r="B19" t="s">
        <v>38</v>
      </c>
      <c r="C19" t="s">
        <v>14</v>
      </c>
      <c r="D19">
        <v>12</v>
      </c>
      <c r="E19">
        <v>1</v>
      </c>
      <c r="F19" t="s">
        <v>71</v>
      </c>
    </row>
    <row r="20" spans="1:6" x14ac:dyDescent="0.25">
      <c r="A20" t="s">
        <v>13</v>
      </c>
      <c r="B20" t="s">
        <v>38</v>
      </c>
      <c r="C20" t="s">
        <v>15</v>
      </c>
      <c r="D20" t="s">
        <v>72</v>
      </c>
      <c r="E20">
        <v>1</v>
      </c>
      <c r="F20" t="s">
        <v>73</v>
      </c>
    </row>
    <row r="21" spans="1:6" x14ac:dyDescent="0.25">
      <c r="A21" t="s">
        <v>13</v>
      </c>
      <c r="B21" t="s">
        <v>38</v>
      </c>
      <c r="C21" t="s">
        <v>16</v>
      </c>
      <c r="D21">
        <v>15</v>
      </c>
      <c r="E21">
        <v>1</v>
      </c>
      <c r="F21" t="s">
        <v>74</v>
      </c>
    </row>
    <row r="22" spans="1:6" x14ac:dyDescent="0.25">
      <c r="A22" t="s">
        <v>13</v>
      </c>
      <c r="B22" t="s">
        <v>38</v>
      </c>
      <c r="C22" t="s">
        <v>17</v>
      </c>
      <c r="D22">
        <v>10</v>
      </c>
      <c r="E22">
        <v>1</v>
      </c>
      <c r="F22" t="s">
        <v>74</v>
      </c>
    </row>
    <row r="23" spans="1:6" x14ac:dyDescent="0.25">
      <c r="A23" t="s">
        <v>13</v>
      </c>
      <c r="B23" t="s">
        <v>38</v>
      </c>
      <c r="C23" t="s">
        <v>18</v>
      </c>
      <c r="D23">
        <v>18</v>
      </c>
      <c r="E23">
        <v>1</v>
      </c>
      <c r="F23" t="s">
        <v>75</v>
      </c>
    </row>
    <row r="24" spans="1:6" x14ac:dyDescent="0.25">
      <c r="A24" t="s">
        <v>13</v>
      </c>
      <c r="B24" t="s">
        <v>38</v>
      </c>
      <c r="C24" t="s">
        <v>19</v>
      </c>
      <c r="D24">
        <v>9</v>
      </c>
      <c r="E24">
        <v>1</v>
      </c>
      <c r="F24" t="s">
        <v>76</v>
      </c>
    </row>
    <row r="25" spans="1:6" x14ac:dyDescent="0.25">
      <c r="A25" t="s">
        <v>13</v>
      </c>
      <c r="B25" t="s">
        <v>38</v>
      </c>
      <c r="C25" t="s">
        <v>20</v>
      </c>
      <c r="D25">
        <v>6</v>
      </c>
      <c r="E25">
        <v>1</v>
      </c>
      <c r="F25" t="s">
        <v>77</v>
      </c>
    </row>
    <row r="26" spans="1:6" x14ac:dyDescent="0.25">
      <c r="A26" t="s">
        <v>13</v>
      </c>
      <c r="B26" t="s">
        <v>38</v>
      </c>
      <c r="C26" t="s">
        <v>21</v>
      </c>
      <c r="D26">
        <v>10</v>
      </c>
      <c r="E26">
        <v>1</v>
      </c>
      <c r="F26" t="s">
        <v>78</v>
      </c>
    </row>
    <row r="27" spans="1:6" x14ac:dyDescent="0.25">
      <c r="A27" t="s">
        <v>13</v>
      </c>
      <c r="B27" t="s">
        <v>38</v>
      </c>
      <c r="C27" t="s">
        <v>22</v>
      </c>
      <c r="D27">
        <v>9</v>
      </c>
      <c r="E27">
        <v>1</v>
      </c>
      <c r="F27" t="s">
        <v>78</v>
      </c>
    </row>
    <row r="28" spans="1:6" x14ac:dyDescent="0.25">
      <c r="A28" t="s">
        <v>13</v>
      </c>
      <c r="B28" t="s">
        <v>40</v>
      </c>
      <c r="C28" t="s">
        <v>23</v>
      </c>
      <c r="D28">
        <v>12</v>
      </c>
      <c r="E28">
        <v>1</v>
      </c>
      <c r="F28" t="s">
        <v>79</v>
      </c>
    </row>
    <row r="29" spans="1:6" x14ac:dyDescent="0.25">
      <c r="A29" t="s">
        <v>13</v>
      </c>
      <c r="B29" t="s">
        <v>40</v>
      </c>
      <c r="C29" t="s">
        <v>24</v>
      </c>
      <c r="D29">
        <v>7</v>
      </c>
      <c r="E29">
        <v>1</v>
      </c>
      <c r="F29" t="s">
        <v>80</v>
      </c>
    </row>
    <row r="30" spans="1:6" x14ac:dyDescent="0.25">
      <c r="A30" t="s">
        <v>13</v>
      </c>
      <c r="B30" t="s">
        <v>40</v>
      </c>
      <c r="C30" t="s">
        <v>25</v>
      </c>
      <c r="D30">
        <v>4</v>
      </c>
      <c r="E30">
        <v>1</v>
      </c>
      <c r="F30" t="s">
        <v>80</v>
      </c>
    </row>
    <row r="31" spans="1:6" x14ac:dyDescent="0.25">
      <c r="A31" t="s">
        <v>13</v>
      </c>
      <c r="B31" t="s">
        <v>40</v>
      </c>
      <c r="C31" t="s">
        <v>26</v>
      </c>
      <c r="D31">
        <v>14</v>
      </c>
      <c r="E31">
        <v>1</v>
      </c>
      <c r="F31" t="s">
        <v>81</v>
      </c>
    </row>
    <row r="32" spans="1:6" x14ac:dyDescent="0.25">
      <c r="A32" t="s">
        <v>13</v>
      </c>
      <c r="B32" t="s">
        <v>40</v>
      </c>
      <c r="C32" t="s">
        <v>27</v>
      </c>
      <c r="D32">
        <v>14</v>
      </c>
      <c r="E32">
        <v>1</v>
      </c>
      <c r="F32" t="s">
        <v>82</v>
      </c>
    </row>
    <row r="33" spans="1:6" x14ac:dyDescent="0.25">
      <c r="A33" t="s">
        <v>13</v>
      </c>
      <c r="B33" t="s">
        <v>40</v>
      </c>
      <c r="C33" t="s">
        <v>28</v>
      </c>
      <c r="D33">
        <v>11</v>
      </c>
      <c r="E33">
        <v>1</v>
      </c>
      <c r="F33" t="s">
        <v>83</v>
      </c>
    </row>
    <row r="34" spans="1:6" x14ac:dyDescent="0.25">
      <c r="A34" t="s">
        <v>13</v>
      </c>
      <c r="B34" t="s">
        <v>10</v>
      </c>
      <c r="C34" t="s">
        <v>29</v>
      </c>
      <c r="D34">
        <v>12</v>
      </c>
      <c r="E34">
        <v>1</v>
      </c>
      <c r="F34" t="s">
        <v>84</v>
      </c>
    </row>
    <row r="35" spans="1:6" x14ac:dyDescent="0.25">
      <c r="A35" t="s">
        <v>13</v>
      </c>
      <c r="B35" t="s">
        <v>10</v>
      </c>
      <c r="C35" t="s">
        <v>30</v>
      </c>
      <c r="D35">
        <v>11</v>
      </c>
      <c r="E35">
        <v>1</v>
      </c>
      <c r="F35" t="s">
        <v>85</v>
      </c>
    </row>
    <row r="36" spans="1:6" x14ac:dyDescent="0.25">
      <c r="A36" t="s">
        <v>13</v>
      </c>
      <c r="B36" t="s">
        <v>10</v>
      </c>
      <c r="C36" t="s">
        <v>45</v>
      </c>
      <c r="D36">
        <v>9</v>
      </c>
      <c r="E36">
        <v>1</v>
      </c>
      <c r="F36" t="s">
        <v>86</v>
      </c>
    </row>
    <row r="37" spans="1:6" x14ac:dyDescent="0.25">
      <c r="A37" t="s">
        <v>13</v>
      </c>
      <c r="B37" t="s">
        <v>10</v>
      </c>
      <c r="C37" t="s">
        <v>31</v>
      </c>
      <c r="D37">
        <v>4</v>
      </c>
      <c r="E37">
        <v>1</v>
      </c>
      <c r="F37" t="s">
        <v>87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f60035-bfe2-4b0a-98b4-dc4d9da4839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709D1CC207074191644AE104E0009F" ma:contentTypeVersion="10" ma:contentTypeDescription="Crée un document." ma:contentTypeScope="" ma:versionID="f21f37406ec1b3898817d8d03837d91e">
  <xsd:schema xmlns:xsd="http://www.w3.org/2001/XMLSchema" xmlns:xs="http://www.w3.org/2001/XMLSchema" xmlns:p="http://schemas.microsoft.com/office/2006/metadata/properties" xmlns:ns3="e9f60035-bfe2-4b0a-98b4-dc4d9da4839c" targetNamespace="http://schemas.microsoft.com/office/2006/metadata/properties" ma:root="true" ma:fieldsID="6d5073ddea5eac6b6547a9bb23442417" ns3:_="">
    <xsd:import namespace="e9f60035-bfe2-4b0a-98b4-dc4d9da4839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f60035-bfe2-4b0a-98b4-dc4d9da4839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FF97E7-9CA3-4C6E-AF66-D97F24621785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www.w3.org/XML/1998/namespace"/>
    <ds:schemaRef ds:uri="e9f60035-bfe2-4b0a-98b4-dc4d9da4839c"/>
  </ds:schemaRefs>
</ds:datastoreItem>
</file>

<file path=customXml/itemProps2.xml><?xml version="1.0" encoding="utf-8"?>
<ds:datastoreItem xmlns:ds="http://schemas.openxmlformats.org/officeDocument/2006/customXml" ds:itemID="{8BFAC37F-9074-496B-B766-556A4AF1FD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67E418-B999-4094-9977-8A634C4CFA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f60035-bfe2-4b0a-98b4-dc4d9da483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Tableau de bord</vt:lpstr>
      <vt:lpstr>Moyennes des ressources</vt:lpstr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Helena Guertin</dc:creator>
  <cp:keywords/>
  <dc:description/>
  <cp:lastModifiedBy>clara decros</cp:lastModifiedBy>
  <cp:revision/>
  <dcterms:created xsi:type="dcterms:W3CDTF">2024-12-17T09:49:44Z</dcterms:created>
  <dcterms:modified xsi:type="dcterms:W3CDTF">2026-05-25T16:57:18Z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0x010100AE709D1CC207074191644AE104E0009F</vt:lpwstr>
  </property>
</Properties>
</file>